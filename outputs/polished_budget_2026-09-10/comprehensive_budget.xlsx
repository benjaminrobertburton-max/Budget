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9eeb0105774a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. Start" sheetId="1" r:id="R6f6fde561c3f491f"/>
    <x:sheet xmlns:r="http://schemas.openxmlformats.org/officeDocument/2006/relationships" name="2. Tuesday Review" sheetId="2" r:id="R1a67045b52a24eb8"/>
    <x:sheet xmlns:r="http://schemas.openxmlformats.org/officeDocument/2006/relationships" name="3. This Week" sheetId="3" r:id="R9c4c2cf399b94c60"/>
    <x:sheet xmlns:r="http://schemas.openxmlformats.org/officeDocument/2006/relationships" name="4. Money Plan" sheetId="4" r:id="R2d08efb0edda43fb"/>
    <x:sheet xmlns:r="http://schemas.openxmlformats.org/officeDocument/2006/relationships" name="5. Savings &amp; Debt" sheetId="5" r:id="Rd3ddf2c687514154"/>
    <x:sheet xmlns:r="http://schemas.openxmlformats.org/officeDocument/2006/relationships" name="6. History" sheetId="6" r:id="R8566afad8e744fab"/>
    <x:sheet xmlns:r="http://schemas.openxmlformats.org/officeDocument/2006/relationships" name="Support - Ledger" sheetId="7" r:id="R85f4c16fec7b4abc"/>
    <x:sheet xmlns:r="http://schemas.openxmlformats.org/officeDocument/2006/relationships" name="Support - Budget Inputs" sheetId="8" r:id="Re967410d93a1466c"/>
    <x:sheet xmlns:r="http://schemas.openxmlformats.org/officeDocument/2006/relationships" name="Support - Funding Detail" sheetId="9" r:id="R766f33863c88424e"/>
    <x:sheet xmlns:r="http://schemas.openxmlformats.org/officeDocument/2006/relationships" name="Support - Debt Detail" sheetId="10" r:id="R7f80bbc84b854878"/>
    <x:sheet xmlns:r="http://schemas.openxmlformats.org/officeDocument/2006/relationships" name="Support - Promo Detail" sheetId="11" r:id="R1b6a7984461e4f32"/>
    <x:sheet xmlns:r="http://schemas.openxmlformats.org/officeDocument/2006/relationships" name="Support - Account Snapshots" sheetId="12" r:id="R4b15b3dcf01048ae"/>
    <x:sheet xmlns:r="http://schemas.openxmlformats.org/officeDocument/2006/relationships" name="Support - Pending Review" sheetId="13" r:id="R544422b8de8d4dbf"/>
    <x:sheet xmlns:r="http://schemas.openxmlformats.org/officeDocument/2006/relationships" name="Support - Rules" sheetId="14" r:id="Raab1e6aa63ab4311"/>
    <x:sheet xmlns:r="http://schemas.openxmlformats.org/officeDocument/2006/relationships" name="Support - Sources" sheetId="15" r:id="Ree1306e0197b4e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#,##0.00;[Red]($#,##0.00);-"/>
    <x:numFmt numFmtId="201" formatCode="0.0000"/>
    <x:numFmt numFmtId="202" formatCode="CA$#,##0.00;[Red](CA$#,##0.00);-"/>
    <x:numFmt numFmtId="203" formatCode="mmm d, yyyy"/>
    <x:numFmt numFmtId="204" formatCode="mmm d"/>
  </x:numFmts>
  <x:fonts count="3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4748B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4"/>
      <x:name val="Carlito"/>
    </x:font>
    <x:font>
      <x:b/>
      <x:sz val="12"/>
      <x:color rgb="FF0000FF"/>
      <x:name val="Carlito"/>
    </x:font>
    <x:font>
      <x:b/>
      <x:sz val="12"/>
      <x:name val="Carlito"/>
    </x:font>
    <x:font>
      <x:b/>
      <x:sz val="12"/>
      <x:color rgb="FFFFFFFF"/>
      <x:name val="Carlito"/>
    </x:font>
    <x:font>
      <x:i/>
      <x:sz val="12"/>
      <x:color rgb="FF64748B"/>
      <x:name val="Carlito"/>
    </x:font>
    <x:font>
      <x:sz val="12"/>
      <x:name val="Carlito"/>
    </x:font>
    <x:font>
      <x:sz val="12"/>
      <x:color rgb="FF0000FF"/>
      <x:name val="Carlito"/>
    </x:font>
    <x:font>
      <x:b/>
      <x:sz val="11"/>
      <x:color rgb="FF6B4F9B"/>
      <x:name val="Carlito"/>
    </x:font>
    <x:font>
      <x:sz val="12"/>
      <x:color rgb="FF000000"/>
      <x:name val="Carlito"/>
    </x:font>
    <x:font>
      <x:b/>
      <x:sz val="11"/>
      <x:color rgb="FF087E8B"/>
      <x:name val="Carlito"/>
    </x:font>
    <x:font>
      <x:b/>
      <x:sz val="11"/>
      <x:color rgb="FF18324A"/>
      <x:name val="Carlito"/>
    </x:font>
    <x:font>
      <x:b/>
      <x:sz val="12"/>
      <x:color rgb="FF087E8B"/>
      <x:name val="Carlito"/>
    </x:font>
    <x:font>
      <x:b/>
      <x:sz val="12"/>
      <x:color rgb="FF18324A"/>
      <x:name val="Carlito"/>
    </x:font>
    <x:font>
      <x:b/>
      <x:sz val="11"/>
      <x:color rgb="FF64748B"/>
      <x:name val="Carlito"/>
    </x:font>
    <x:font>
      <x:b/>
      <x:sz val="11"/>
      <x:color rgb="FF7C5E10"/>
      <x:name val="Carlito"/>
    </x:font>
    <x:font>
      <x:b/>
      <x:sz val="12"/>
      <x:color rgb="FF7C5E10"/>
      <x:name val="Carlito"/>
    </x:font>
    <x:font>
      <x:b/>
      <x:sz val="12"/>
      <x:color rgb="FF64748B"/>
      <x:name val="Carlito"/>
    </x:font>
    <x:font>
      <x:b/>
      <x:sz val="10"/>
      <x:color rgb="FF243447"/>
      <x:name val="Arial"/>
    </x:font>
    <x:font>
      <x:sz val="10"/>
      <x:color rgb="FF243447"/>
      <x:name val="Arial"/>
    </x:font>
    <x:font>
      <x:i/>
      <x:sz val="10"/>
      <x:color rgb="FF243447"/>
      <x:name val="Arial"/>
    </x:font>
    <x:font>
      <x:b/>
      <x:sz val="15"/>
      <x:color rgb="FFFFFFFF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b/>
      <x:sz val="14"/>
      <x:color rgb="FF172B4D"/>
      <x:name val="Arial"/>
    </x:font>
    <x:font>
      <x:b/>
      <x:sz val="11"/>
      <x:color rgb="FF243447"/>
      <x:name val="Arial"/>
    </x:font>
    <x:font>
      <x:b/>
      <x:sz val="13"/>
      <x:color rgb="FF172B4D"/>
      <x:name val="Arial"/>
    </x:font>
    <x:font>
      <x:b/>
      <x:sz val="12"/>
      <x:color rgb="FF172B4D"/>
      <x:name val="Arial"/>
    </x:font>
  </x:fonts>
  <x:fills count="13">
    <x:fill>
      <x:patternFill patternType="none"/>
    </x:fill>
    <x:fill>
      <x:patternFill patternType="gray125"/>
    </x:fill>
    <x:fill>
      <x:patternFill patternType="solid">
        <x:fgColor rgb="FF6B4F9B"/>
      </x:patternFill>
    </x:fill>
    <x:fill>
      <x:patternFill patternType="solid">
        <x:fgColor rgb="FF087E8B"/>
      </x:patternFill>
    </x:fill>
    <x:fill>
      <x:patternFill patternType="solid">
        <x:fgColor rgb="FFDFF3EF"/>
      </x:patternFill>
    </x:fill>
    <x:fill>
      <x:patternFill patternType="solid">
        <x:fgColor rgb="FFFFF2CC"/>
      </x:patternFill>
    </x:fill>
    <x:fill>
      <x:patternFill patternType="solid">
        <x:fgColor rgb="FFF4F7FA"/>
      </x:patternFill>
    </x:fill>
    <x:fill>
      <x:patternFill patternType="solid">
        <x:fgColor rgb="FF9A4D1D"/>
      </x:patternFill>
    </x:fill>
    <x:fill>
      <x:patternFill patternType="solid">
        <x:fgColor rgb="FF566575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173F5F"/>
      </x:patternFill>
    </x:fill>
    <x:fill>
      <x:patternFill patternType="solid">
        <x:fgColor rgb="FFE8EEF5"/>
      </x:patternFill>
    </x:fill>
  </x:fills>
  <x:borders count="36">
    <x:border/>
    <x:border>
      <x:left style="thin">
        <x:color rgb="FFA7C9C8"/>
      </x:left>
      <x:top style="thin">
        <x:color rgb="FFA7C9C8"/>
      </x:top>
      <x:bottom style="thin">
        <x:color rgb="FFA7C9C8"/>
      </x:bottom>
    </x:border>
    <x:border>
      <x:top style="thin">
        <x:color rgb="FFA7C9C8"/>
      </x:top>
      <x:bottom style="thin">
        <x:color rgb="FFA7C9C8"/>
      </x:bottom>
    </x:border>
    <x:border>
      <x:right style="thin">
        <x:color rgb="FFA7C9C8"/>
      </x:right>
      <x:top style="thin">
        <x:color rgb="FFA7C9C8"/>
      </x:top>
      <x:bottom style="thin">
        <x:color rgb="FFA7C9C8"/>
      </x:bottom>
    </x:border>
    <x:border>
      <x:bottom style="double">
        <x:color rgb="FF18324A"/>
      </x:bottom>
    </x:border>
    <x:border>
      <x:left style="medium">
        <x:color rgb="FF087E8B"/>
      </x:left>
      <x:top style="medium">
        <x:color rgb="FF087E8B"/>
      </x:top>
      <x:bottom style="medium">
        <x:color rgb="FF087E8B"/>
      </x:bottom>
    </x:border>
    <x:border>
      <x:top style="medium">
        <x:color rgb="FF087E8B"/>
      </x:top>
      <x:bottom style="medium">
        <x:color rgb="FF087E8B"/>
      </x:bottom>
    </x:border>
    <x:border>
      <x:right style="medium">
        <x:color rgb="FF087E8B"/>
      </x:right>
      <x:top style="medium">
        <x:color rgb="FF087E8B"/>
      </x:top>
      <x:bottom style="medium">
        <x:color rgb="FF087E8B"/>
      </x:bottom>
    </x:border>
    <x:border>
      <x:left style="thin">
        <x:color rgb="FFA7C9C8"/>
      </x:left>
      <x:top style="thin">
        <x:color rgb="FFA7C9C8"/>
      </x:top>
    </x:border>
    <x:border>
      <x:top style="thin">
        <x:color rgb="FFA7C9C8"/>
      </x:top>
    </x:border>
    <x:border>
      <x:right style="thin">
        <x:color rgb="FFA7C9C8"/>
      </x:right>
      <x:top style="thin">
        <x:color rgb="FFA7C9C8"/>
      </x:top>
    </x:border>
    <x:border>
      <x:left style="thin">
        <x:color rgb="FFA7C9C8"/>
      </x:left>
    </x:border>
    <x:border>
      <x:right style="thin">
        <x:color rgb="FFA7C9C8"/>
      </x:right>
    </x:border>
    <x:border>
      <x:left style="thin">
        <x:color rgb="FFA7C9C8"/>
      </x:left>
      <x:bottom style="thin">
        <x:color rgb="FFA7C9C8"/>
      </x:bottom>
    </x:border>
    <x:border>
      <x:bottom style="thin">
        <x:color rgb="FFA7C9C8"/>
      </x:bottom>
    </x:border>
    <x:border>
      <x:right style="thin">
        <x:color rgb="FFA7C9C8"/>
      </x:right>
      <x:bottom style="thin">
        <x:color rgb="FFA7C9C8"/>
      </x:bottom>
    </x:border>
    <x:border>
      <x:right style="thin">
        <x:color rgb="FFD9E5E7"/>
      </x:right>
      <x:bottom style="thin">
        <x:color rgb="FFD9E5E7"/>
      </x:bottom>
    </x:border>
    <x:border>
      <x:left style="thin">
        <x:color rgb="FFD9E5E7"/>
      </x:left>
      <x:bottom style="thin">
        <x:color rgb="FFD9E5E7"/>
      </x:bottom>
    </x:border>
    <x:border>
      <x:right style="thin">
        <x:color rgb="FFD9E5E7"/>
      </x:right>
      <x:top style="thin">
        <x:color rgb="FFD9E5E7"/>
      </x:top>
      <x:bottom style="thin">
        <x:color rgb="FFD9E5E7"/>
      </x:bottom>
    </x:border>
    <x:border>
      <x:left style="thin">
        <x:color rgb="FFD9E5E7"/>
      </x:left>
      <x:top style="thin">
        <x:color rgb="FFD9E5E7"/>
      </x:top>
      <x:bottom style="thin">
        <x:color rgb="FFD9E5E7"/>
      </x:bottom>
    </x:border>
    <x:border>
      <x:right style="thin">
        <x:color rgb="FFD9E5E7"/>
      </x:right>
      <x:top style="thin">
        <x:color rgb="FFD9E5E7"/>
      </x:top>
    </x:border>
    <x:border>
      <x:left style="thin">
        <x:color rgb="FFD9E5E7"/>
      </x:left>
      <x:top style="thin">
        <x:color rgb="FFD9E5E7"/>
      </x:top>
    </x:border>
    <x:border>
      <x:bottom style="double">
        <x:color rgb="FF087E8B"/>
      </x:bottom>
    </x:border>
    <x:border>
      <x:left style="thin">
        <x:color rgb="FFD9E5E7"/>
      </x:left>
      <x:right style="thin">
        <x:color rgb="FFD9E5E7"/>
      </x:right>
      <x:bottom style="thin">
        <x:color rgb="FFD9E5E7"/>
      </x:bottom>
    </x:border>
    <x:border>
      <x:left style="thin">
        <x:color rgb="FFD9E5E7"/>
      </x:left>
      <x:right style="thin">
        <x:color rgb="FFD9E5E7"/>
      </x:right>
      <x:top style="thin">
        <x:color rgb="FFD9E5E7"/>
      </x:top>
      <x:bottom style="thin">
        <x:color rgb="FFD9E5E7"/>
      </x:bottom>
    </x:border>
    <x:border>
      <x:left style="thin">
        <x:color rgb="FFD9E5E7"/>
      </x:left>
      <x:right style="thin">
        <x:color rgb="FFD9E5E7"/>
      </x:right>
      <x:top style="thin">
        <x:color rgb="FFD9E5E7"/>
      </x:top>
    </x:border>
    <x:border>
      <x:left style="thin">
        <x:color rgb="FFA7C9C8"/>
      </x:left>
      <x:right style="thin">
        <x:color rgb="FFD9E5E7"/>
      </x:right>
      <x:top style="thin">
        <x:color rgb="FFA7C9C8"/>
      </x:top>
      <x:bottom style="thin">
        <x:color rgb="FFD9E5E7"/>
      </x:bottom>
    </x:border>
    <x:border>
      <x:left style="thin">
        <x:color rgb="FFD9E5E7"/>
      </x:left>
      <x:right style="thin">
        <x:color rgb="FFD9E5E7"/>
      </x:right>
      <x:top style="thin">
        <x:color rgb="FFA7C9C8"/>
      </x:top>
      <x:bottom style="thin">
        <x:color rgb="FFD9E5E7"/>
      </x:bottom>
    </x:border>
    <x:border>
      <x:left style="thin">
        <x:color rgb="FFD9E5E7"/>
      </x:left>
      <x:top style="thin">
        <x:color rgb="FFA7C9C8"/>
      </x:top>
      <x:bottom style="thin">
        <x:color rgb="FFD9E5E7"/>
      </x:bottom>
    </x:border>
    <x:border>
      <x:left style="thin">
        <x:color rgb="FFA7C9C8"/>
      </x:left>
      <x:right style="thin">
        <x:color rgb="FFD9E5E7"/>
      </x:right>
      <x:top style="thin">
        <x:color rgb="FFD9E5E7"/>
      </x:top>
      <x:bottom style="thin">
        <x:color rgb="FFD9E5E7"/>
      </x:bottom>
    </x:border>
    <x:border>
      <x:left style="thin">
        <x:color rgb="FFA7C9C8"/>
      </x:left>
      <x:right style="thin">
        <x:color rgb="FFD9E5E7"/>
      </x:right>
      <x:top style="thin">
        <x:color rgb="FFD9E5E7"/>
      </x:top>
      <x:bottom style="thin">
        <x:color rgb="FFA7C9C8"/>
      </x:bottom>
    </x:border>
    <x:border>
      <x:left style="thin">
        <x:color rgb="FFD9E5E7"/>
      </x:left>
      <x:right style="thin">
        <x:color rgb="FFD9E5E7"/>
      </x:right>
      <x:top style="thin">
        <x:color rgb="FFD9E5E7"/>
      </x:top>
      <x:bottom style="thin">
        <x:color rgb="FFA7C9C8"/>
      </x:bottom>
    </x:border>
    <x:border>
      <x:left style="thin">
        <x:color rgb="FFD9E5E7"/>
      </x:left>
      <x:top style="thin">
        <x:color rgb="FFD9E5E7"/>
      </x:top>
      <x:bottom style="thin">
        <x:color rgb="FFA7C9C8"/>
      </x:bottom>
    </x:border>
    <x:border>
      <x:left style="medium">
        <x:color rgb="FFA7C9C8"/>
      </x:left>
      <x:right style="medium">
        <x:color rgb="FFA7C9C8"/>
      </x:right>
      <x:top style="medium">
        <x:color rgb="FFA7C9C8"/>
      </x:top>
    </x:border>
    <x:border>
      <x:left style="medium">
        <x:color rgb="FFA7C9C8"/>
      </x:left>
      <x:right style="medium">
        <x:color rgb="FFA7C9C8"/>
      </x:right>
    </x:border>
    <x:border>
      <x:left style="medium">
        <x:color rgb="FFA7C9C8"/>
      </x:left>
      <x:right style="medium">
        <x:color rgb="FFA7C9C8"/>
      </x:right>
      <x:bottom style="medium">
        <x:color rgb="FFA7C9C8"/>
      </x:bottom>
    </x:border>
  </x:borders>
  <x:cellStyleXfs count="1">
    <x:xf numFmtId="0" fontId="0" fillId="0" borderId="0"/>
  </x:cellStyleXfs>
  <x:cellXfs count="58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6" borderId="0" xfId="0" applyNumberFormat="1" applyFont="1" applyFill="1" applyBorder="1"/>
    <x:xf numFmtId="0" fontId="6" fillId="6" borderId="0" xfId="0" applyNumberFormat="1" applyFont="1" applyFill="1" applyBorder="1"/>
    <x:xf numFmtId="200" fontId="0" fillId="0" borderId="0" xfId="0" applyNumberFormat="1" applyFont="1" applyFill="1" applyBorder="1"/>
    <x:xf numFmtId="200" fontId="5" fillId="5" borderId="0" xfId="0" applyNumberFormat="1" applyFont="1" applyFill="1" applyBorder="1"/>
    <x:xf numFmtId="200" fontId="6" fillId="6" borderId="0" xfId="0" applyNumberFormat="1" applyFont="1" applyFill="1" applyBorder="1"/>
    <x:xf numFmtId="201" fontId="5" fillId="5" borderId="0" xfId="0" applyNumberFormat="1" applyFont="1" applyFill="1" applyBorder="1"/>
    <x:xf numFmtId="202" fontId="0" fillId="0" borderId="0" xfId="0" applyNumberFormat="1" applyFont="1" applyFill="1" applyBorder="1"/>
    <x:xf numFmtId="0" fontId="0" fillId="6" borderId="0" xfId="0" applyNumberFormat="1" applyFont="1" applyFill="1" applyBorder="1"/>
    <x:xf numFmtId="200" fontId="0" fillId="6" borderId="0" xfId="0" applyNumberFormat="1" applyFont="1" applyFill="1" applyBorder="1"/>
    <x:xf numFmtId="0" fontId="4" fillId="6" borderId="0" xfId="0" applyNumberFormat="1" applyFont="1" applyFill="1" applyBorder="1"/>
    <x:xf numFmtId="200" fontId="4" fillId="6" borderId="0" xfId="0" applyNumberFormat="1" applyFont="1" applyFill="1" applyBorder="1"/>
    <x:xf numFmtId="0" fontId="4" fillId="6" borderId="4" xfId="0" applyNumberFormat="1" applyFont="1" applyFill="1" applyBorder="1"/>
    <x:xf numFmtId="200" fontId="4" fillId="6" borderId="4" xfId="0" applyNumberFormat="1" applyFont="1" applyFill="1" applyBorder="1"/>
    <x:xf numFmtId="200" fontId="0" fillId="4" borderId="0" xfId="0" applyNumberFormat="1" applyFont="1" applyFill="1" applyBorder="1"/>
    <x:xf numFmtId="200" fontId="4" fillId="4" borderId="0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20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200" fontId="4" fillId="6" borderId="4" xfId="0" applyNumberFormat="1" applyFont="1" applyFill="1" applyBorder="1" applyAlignment="1">
      <x:alignment wrapText="1"/>
    </x:xf>
    <x:xf numFmtId="200" fontId="5" fillId="5" borderId="0" xfId="0" applyNumberFormat="1" applyFont="1" applyFill="1" applyBorder="1" applyAlignment="1">
      <x:alignment wrapText="1"/>
    </x:xf>
    <x:xf numFmtId="200" fontId="6" fillId="6" borderId="0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200" fontId="4" fillId="4" borderId="6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wrapText="1"/>
    </x:xf>
    <x:xf numFmtId="201" fontId="5" fillId="5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203" fontId="5" fillId="5" borderId="0" xfId="0" applyNumberFormat="1" applyFont="1" applyFill="1" applyBorder="1"/>
    <x:xf numFmtId="203" fontId="0" fillId="0" borderId="0" xfId="0" applyNumberFormat="1" applyFont="1" applyFill="1" applyBorder="1"/>
    <x:xf numFmtId="20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200" fontId="4" fillId="5" borderId="6" xfId="0" applyNumberFormat="1" applyFont="1" applyFill="1" applyBorder="1"/>
    <x:xf numFmtId="0" fontId="4" fillId="5" borderId="7" xfId="0" applyNumberFormat="1" applyFont="1" applyFill="1" applyBorder="1"/>
    <x:xf numFmtId="203" fontId="5" fillId="5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wrapText="1"/>
    </x:xf>
    <x:xf numFmtId="0" fontId="4" fillId="6" borderId="8" xfId="0" applyNumberFormat="1" applyFont="1" applyFill="1" applyBorder="1"/>
    <x:xf numFmtId="0" fontId="4" fillId="6" borderId="9" xfId="0" applyNumberFormat="1" applyFont="1" applyFill="1" applyBorder="1"/>
    <x:xf numFmtId="200" fontId="4" fillId="6" borderId="10" xfId="0" applyNumberFormat="1" applyFont="1" applyFill="1" applyBorder="1"/>
    <x:xf numFmtId="0" fontId="4" fillId="6" borderId="11" xfId="0" applyNumberFormat="1" applyFont="1" applyFill="1" applyBorder="1"/>
    <x:xf numFmtId="20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200" fontId="4" fillId="6" borderId="15" xfId="0" applyNumberFormat="1" applyFont="1" applyFill="1" applyBorder="1"/>
    <x:xf numFmtId="200" fontId="4" fillId="4" borderId="7" xfId="0" applyNumberFormat="1" applyFont="1" applyFill="1" applyBorder="1"/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vertical="center"/>
    </x:xf>
    <x:xf numFmtId="0" fontId="0" fillId="6" borderId="16" xfId="0" applyNumberFormat="1" applyFont="1" applyFill="1" applyBorder="1"/>
    <x:xf numFmtId="0" fontId="0" fillId="6" borderId="17" xfId="0" applyNumberFormat="1" applyFont="1" applyFill="1" applyBorder="1"/>
    <x:xf numFmtId="0" fontId="0" fillId="6" borderId="18" xfId="0" applyNumberFormat="1" applyFont="1" applyFill="1" applyBorder="1"/>
    <x:xf numFmtId="0" fontId="0" fillId="6" borderId="19" xfId="0" applyNumberFormat="1" applyFont="1" applyFill="1" applyBorder="1"/>
    <x:xf numFmtId="0" fontId="0" fillId="6" borderId="20" xfId="0" applyNumberFormat="1" applyFont="1" applyFill="1" applyBorder="1"/>
    <x:xf numFmtId="0" fontId="0" fillId="6" borderId="21" xfId="0" applyNumberFormat="1" applyFont="1" applyFill="1" applyBorder="1"/>
    <x:xf numFmtId="0" fontId="0" fillId="10" borderId="17" xfId="0" applyNumberFormat="1" applyFont="1" applyFill="1" applyBorder="1"/>
    <x:xf numFmtId="0" fontId="0" fillId="10" borderId="19" xfId="0" applyNumberFormat="1" applyFont="1" applyFill="1" applyBorder="1"/>
    <x:xf numFmtId="0" fontId="0" fillId="10" borderId="21" xfId="0" applyNumberFormat="1" applyFont="1" applyFill="1" applyBorder="1"/>
    <x:xf numFmtId="0" fontId="7" fillId="10" borderId="17" xfId="0" applyNumberFormat="1" applyFont="1" applyFill="1" applyBorder="1"/>
    <x:xf numFmtId="0" fontId="7" fillId="10" borderId="19" xfId="0" applyNumberFormat="1" applyFont="1" applyFill="1" applyBorder="1"/>
    <x:xf numFmtId="0" fontId="7" fillId="10" borderId="21" xfId="0" applyNumberFormat="1" applyFont="1" applyFill="1" applyBorder="1"/>
    <x:xf numFmtId="200" fontId="7" fillId="10" borderId="17" xfId="0" applyNumberFormat="1" applyFont="1" applyFill="1" applyBorder="1"/>
    <x:xf numFmtId="200" fontId="7" fillId="10" borderId="19" xfId="0" applyNumberFormat="1" applyFont="1" applyFill="1" applyBorder="1"/>
    <x:xf numFmtId="200" fontId="7" fillId="10" borderId="21" xfId="0" applyNumberFormat="1" applyFont="1" applyFill="1" applyBorder="1"/>
    <x:xf numFmtId="0" fontId="0" fillId="4" borderId="18" xfId="0" applyNumberFormat="1" applyFont="1" applyFill="1" applyBorder="1"/>
    <x:xf numFmtId="200" fontId="7" fillId="4" borderId="19" xfId="0" applyNumberFormat="1" applyFont="1" applyFill="1" applyBorder="1"/>
    <x:xf numFmtId="0" fontId="4" fillId="4" borderId="18" xfId="0" applyNumberFormat="1" applyFont="1" applyFill="1" applyBorder="1"/>
    <x:xf numFmtId="0" fontId="0" fillId="5" borderId="18" xfId="0" applyNumberFormat="1" applyFont="1" applyFill="1" applyBorder="1"/>
    <x:xf numFmtId="200" fontId="7" fillId="5" borderId="19" xfId="0" applyNumberFormat="1" applyFont="1" applyFill="1" applyBorder="1"/>
    <x:xf numFmtId="0" fontId="4" fillId="5" borderId="18" xfId="0" applyNumberFormat="1" applyFont="1" applyFill="1" applyBorder="1"/>
    <x:xf numFmtId="203" fontId="7" fillId="10" borderId="17" xfId="0" applyNumberFormat="1" applyFont="1" applyFill="1" applyBorder="1"/>
    <x:xf numFmtId="0" fontId="0" fillId="4" borderId="16" xfId="0" applyNumberFormat="1" applyFont="1" applyFill="1" applyBorder="1"/>
    <x:xf numFmtId="203" fontId="7" fillId="4" borderId="17" xfId="0" applyNumberFormat="1" applyFont="1" applyFill="1" applyBorder="1"/>
    <x:xf numFmtId="0" fontId="4" fillId="4" borderId="16" xfId="0" applyNumberFormat="1" applyFont="1" applyFill="1" applyBorder="1"/>
    <x:xf numFmtId="0" fontId="4" fillId="4" borderId="22" xfId="0" applyNumberFormat="1" applyFont="1" applyFill="1" applyBorder="1"/>
    <x:xf numFmtId="200" fontId="4" fillId="4" borderId="22" xfId="0" applyNumberFormat="1" applyFont="1" applyFill="1" applyBorder="1"/>
    <x:xf numFmtId="0" fontId="4" fillId="10" borderId="21" xfId="0" applyNumberFormat="1" applyFont="1" applyFill="1" applyBorder="1"/>
    <x:xf numFmtId="203" fontId="4" fillId="10" borderId="21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center" wrapText="1"/>
    </x:xf>
    <x:xf numFmtId="0" fontId="4" fillId="4" borderId="22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6" xfId="0" applyNumberFormat="1" applyFont="1" applyFill="1" applyBorder="1" applyAlignment="1">
      <x:alignment wrapText="1"/>
    </x:xf>
    <x:xf numFmtId="0" fontId="0" fillId="6" borderId="23" xfId="0" applyNumberFormat="1" applyFont="1" applyFill="1" applyBorder="1" applyAlignment="1">
      <x:alignment wrapText="1"/>
    </x:xf>
    <x:xf numFmtId="0" fontId="0" fillId="6" borderId="17" xfId="0" applyNumberFormat="1" applyFont="1" applyFill="1" applyBorder="1" applyAlignment="1">
      <x:alignment wrapText="1"/>
    </x:xf>
    <x:xf numFmtId="0" fontId="0" fillId="6" borderId="18" xfId="0" applyNumberFormat="1" applyFont="1" applyFill="1" applyBorder="1" applyAlignment="1">
      <x:alignment wrapText="1"/>
    </x:xf>
    <x:xf numFmtId="0" fontId="0" fillId="6" borderId="24" xfId="0" applyNumberFormat="1" applyFont="1" applyFill="1" applyBorder="1" applyAlignment="1">
      <x:alignment wrapText="1"/>
    </x:xf>
    <x:xf numFmtId="0" fontId="0" fillId="6" borderId="19" xfId="0" applyNumberFormat="1" applyFont="1" applyFill="1" applyBorder="1" applyAlignment="1">
      <x:alignment wrapText="1"/>
    </x:xf>
    <x:xf numFmtId="0" fontId="0" fillId="6" borderId="20" xfId="0" applyNumberFormat="1" applyFont="1" applyFill="1" applyBorder="1" applyAlignment="1">
      <x:alignment wrapText="1"/>
    </x:xf>
    <x:xf numFmtId="0" fontId="0" fillId="6" borderId="25" xfId="0" applyNumberFormat="1" applyFont="1" applyFill="1" applyBorder="1" applyAlignment="1">
      <x:alignment wrapText="1"/>
    </x:xf>
    <x:xf numFmtId="0" fontId="0" fillId="6" borderId="21" xfId="0" applyNumberFormat="1" applyFont="1" applyFill="1" applyBorder="1" applyAlignment="1">
      <x:alignment wrapText="1"/>
    </x:xf>
    <x:xf numFmtId="0" fontId="0" fillId="10" borderId="23" xfId="0" applyNumberFormat="1" applyFont="1" applyFill="1" applyBorder="1" applyAlignment="1">
      <x:alignment wrapText="1"/>
    </x:xf>
    <x:xf numFmtId="0" fontId="4" fillId="10" borderId="23" xfId="0" applyNumberFormat="1" applyFont="1" applyFill="1" applyBorder="1" applyAlignment="1">
      <x:alignment wrapText="1"/>
    </x:xf>
    <x:xf numFmtId="0" fontId="0" fillId="5" borderId="24" xfId="0" applyNumberFormat="1" applyFont="1" applyFill="1" applyBorder="1" applyAlignment="1">
      <x:alignment wrapText="1"/>
    </x:xf>
    <x:xf numFmtId="0" fontId="0" fillId="5" borderId="25" xfId="0" applyNumberFormat="1" applyFont="1" applyFill="1" applyBorder="1" applyAlignment="1">
      <x:alignment wrapText="1"/>
    </x:xf>
    <x:xf numFmtId="0" fontId="5" fillId="5" borderId="24" xfId="0" applyNumberFormat="1" applyFont="1" applyFill="1" applyBorder="1" applyAlignment="1">
      <x:alignment wrapText="1"/>
    </x:xf>
    <x:xf numFmtId="0" fontId="5" fillId="5" borderId="25" xfId="0" applyNumberFormat="1" applyFont="1" applyFill="1" applyBorder="1" applyAlignment="1">
      <x:alignment wrapText="1"/>
    </x:xf>
    <x:xf numFmtId="204" fontId="0" fillId="6" borderId="16" xfId="0" applyNumberFormat="1" applyFont="1" applyFill="1" applyBorder="1" applyAlignment="1">
      <x:alignment wrapText="1"/>
    </x:xf>
    <x:xf numFmtId="204" fontId="0" fillId="6" borderId="18" xfId="0" applyNumberFormat="1" applyFont="1" applyFill="1" applyBorder="1" applyAlignment="1">
      <x:alignment wrapText="1"/>
    </x:xf>
    <x:xf numFmtId="204" fontId="0" fillId="6" borderId="20" xfId="0" applyNumberFormat="1" applyFont="1" applyFill="1" applyBorder="1" applyAlignment="1">
      <x:alignment wrapText="1"/>
    </x:xf>
    <x:xf numFmtId="200" fontId="0" fillId="6" borderId="23" xfId="0" applyNumberFormat="1" applyFont="1" applyFill="1" applyBorder="1" applyAlignment="1">
      <x:alignment wrapText="1"/>
    </x:xf>
    <x:xf numFmtId="200" fontId="4" fillId="10" borderId="23" xfId="0" applyNumberFormat="1" applyFont="1" applyFill="1" applyBorder="1" applyAlignment="1">
      <x:alignment wrapText="1"/>
    </x:xf>
    <x:xf numFmtId="200" fontId="0" fillId="6" borderId="24" xfId="0" applyNumberFormat="1" applyFont="1" applyFill="1" applyBorder="1" applyAlignment="1">
      <x:alignment wrapText="1"/>
    </x:xf>
    <x:xf numFmtId="200" fontId="5" fillId="5" borderId="24" xfId="0" applyNumberFormat="1" applyFont="1" applyFill="1" applyBorder="1" applyAlignment="1">
      <x:alignment wrapText="1"/>
    </x:xf>
    <x:xf numFmtId="200" fontId="0" fillId="6" borderId="25" xfId="0" applyNumberFormat="1" applyFont="1" applyFill="1" applyBorder="1" applyAlignment="1">
      <x:alignment wrapText="1"/>
    </x:xf>
    <x:xf numFmtId="200" fontId="5" fillId="5" borderId="25" xfId="0" applyNumberFormat="1" applyFont="1" applyFill="1" applyBorder="1" applyAlignment="1">
      <x:alignment wrapText="1"/>
    </x:xf>
    <x:xf numFmtId="200" fontId="4" fillId="4" borderId="22" xfId="0" applyNumberFormat="1" applyFont="1" applyFill="1" applyBorder="1" applyAlignment="1">
      <x:alignment wrapText="1"/>
    </x:xf>
    <x:xf numFmtId="0" fontId="0" fillId="5" borderId="17" xfId="0" applyNumberFormat="1" applyFont="1" applyFill="1" applyBorder="1"/>
    <x:xf numFmtId="0" fontId="0" fillId="5" borderId="19" xfId="0" applyNumberFormat="1" applyFont="1" applyFill="1" applyBorder="1"/>
    <x:xf numFmtId="0" fontId="5" fillId="5" borderId="17" xfId="0" applyNumberFormat="1" applyFont="1" applyFill="1" applyBorder="1"/>
    <x:xf numFmtId="0" fontId="5" fillId="5" borderId="19" xfId="0" applyNumberFormat="1" applyFont="1" applyFill="1" applyBorder="1"/>
    <x:xf numFmtId="203" fontId="5" fillId="5" borderId="17" xfId="0" applyNumberFormat="1" applyFont="1" applyFill="1" applyBorder="1"/>
    <x:xf numFmtId="0" fontId="5" fillId="10" borderId="19" xfId="0" applyNumberFormat="1" applyFont="1" applyFill="1" applyBorder="1"/>
    <x:xf numFmtId="0" fontId="8" fillId="10" borderId="19" xfId="0" applyNumberFormat="1" applyFont="1" applyFill="1" applyBorder="1"/>
    <x:xf numFmtId="0" fontId="9" fillId="10" borderId="19" xfId="0" applyNumberFormat="1" applyFont="1" applyFill="1" applyBorder="1"/>
    <x:xf numFmtId="0" fontId="9" fillId="10" borderId="21" xfId="0" applyNumberFormat="1" applyFont="1" applyFill="1" applyBorder="1"/>
    <x:xf numFmtId="200" fontId="8" fillId="10" borderId="19" xfId="0" applyNumberFormat="1" applyFont="1" applyFill="1" applyBorder="1"/>
    <x:xf numFmtId="200" fontId="9" fillId="10" borderId="19" xfId="0" applyNumberFormat="1" applyFont="1" applyFill="1" applyBorder="1"/>
    <x:xf numFmtId="200" fontId="9" fillId="10" borderId="21" xfId="0" applyNumberFormat="1" applyFont="1" applyFill="1" applyBorder="1"/>
    <x:xf numFmtId="0" fontId="9" fillId="10" borderId="17" xfId="0" applyNumberFormat="1" applyFont="1" applyFill="1" applyBorder="1"/>
    <x:xf numFmtId="200" fontId="9" fillId="10" borderId="17" xfId="0" applyNumberFormat="1" applyFont="1" applyFill="1" applyBorder="1"/>
    <x:xf numFmtId="0" fontId="1" fillId="9" borderId="0" xfId="0" applyNumberFormat="1" applyFont="1" applyFill="1" applyBorder="1" applyAlignment="1">
      <x:alignment vertical="center" wrapText="1"/>
    </x:xf>
    <x:xf numFmtId="200" fontId="7" fillId="10" borderId="17" xfId="0" applyNumberFormat="1" applyFont="1" applyFill="1" applyBorder="1" applyAlignment="1">
      <x:alignment wrapText="1"/>
    </x:xf>
    <x:xf numFmtId="0" fontId="4" fillId="4" borderId="16" xfId="0" applyNumberFormat="1" applyFont="1" applyFill="1" applyBorder="1" applyAlignment="1">
      <x:alignment wrapText="1"/>
    </x:xf>
    <x:xf numFmtId="203" fontId="7" fillId="4" borderId="17" xfId="0" applyNumberFormat="1" applyFont="1" applyFill="1" applyBorder="1" applyAlignment="1">
      <x:alignment wrapText="1"/>
    </x:xf>
    <x:xf numFmtId="200" fontId="7" fillId="10" borderId="19" xfId="0" applyNumberFormat="1" applyFont="1" applyFill="1" applyBorder="1" applyAlignment="1">
      <x:alignment wrapText="1"/>
    </x:xf>
    <x:xf numFmtId="0" fontId="4" fillId="4" borderId="18" xfId="0" applyNumberFormat="1" applyFont="1" applyFill="1" applyBorder="1" applyAlignment="1">
      <x:alignment wrapText="1"/>
    </x:xf>
    <x:xf numFmtId="200" fontId="7" fillId="4" borderId="19" xfId="0" applyNumberFormat="1" applyFont="1" applyFill="1" applyBorder="1" applyAlignment="1">
      <x:alignment wrapText="1"/>
    </x:xf>
    <x:xf numFmtId="0" fontId="4" fillId="5" borderId="18" xfId="0" applyNumberFormat="1" applyFont="1" applyFill="1" applyBorder="1" applyAlignment="1">
      <x:alignment wrapText="1"/>
    </x:xf>
    <x:xf numFmtId="200" fontId="7" fillId="5" borderId="19" xfId="0" applyNumberFormat="1" applyFont="1" applyFill="1" applyBorder="1" applyAlignment="1">
      <x:alignment wrapText="1"/>
    </x:xf>
    <x:xf numFmtId="200" fontId="7" fillId="10" borderId="21" xfId="0" applyNumberFormat="1" applyFont="1" applyFill="1" applyBorder="1" applyAlignment="1">
      <x:alignment wrapText="1"/>
    </x:xf>
    <x:xf numFmtId="203" fontId="4" fillId="10" borderId="21" xfId="0" applyNumberFormat="1" applyFont="1" applyFill="1" applyBorder="1" applyAlignment="1">
      <x:alignment wrapText="1"/>
    </x:xf>
    <x:xf numFmtId="203" fontId="5" fillId="5" borderId="17" xfId="0" applyNumberFormat="1" applyFont="1" applyFill="1" applyBorder="1" applyAlignment="1">
      <x:alignment wrapText="1"/>
    </x:xf>
    <x:xf numFmtId="200" fontId="9" fillId="10" borderId="17" xfId="0" applyNumberFormat="1" applyFont="1" applyFill="1" applyBorder="1" applyAlignment="1">
      <x:alignment wrapText="1"/>
    </x:xf>
    <x:xf numFmtId="200" fontId="8" fillId="10" borderId="19" xfId="0" applyNumberFormat="1" applyFont="1" applyFill="1" applyBorder="1" applyAlignment="1">
      <x:alignment wrapText="1"/>
    </x:xf>
    <x:xf numFmtId="200" fontId="9" fillId="10" borderId="19" xfId="0" applyNumberFormat="1" applyFont="1" applyFill="1" applyBorder="1" applyAlignment="1">
      <x:alignment wrapText="1"/>
    </x:xf>
    <x:xf numFmtId="200" fontId="9" fillId="10" borderId="21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vertical="center" wrapText="1"/>
    </x:xf>
    <x:xf numFmtId="0" fontId="12" fillId="6" borderId="16" xfId="0" applyNumberFormat="1" applyFont="1" applyFill="1" applyBorder="1" applyAlignment="1">
      <x:alignment wrapText="1"/>
    </x:xf>
    <x:xf numFmtId="0" fontId="9" fillId="4" borderId="16" xfId="0" applyNumberFormat="1" applyFont="1" applyFill="1" applyBorder="1" applyAlignment="1">
      <x:alignment wrapText="1"/>
    </x:xf>
    <x:xf numFmtId="203" fontId="9" fillId="4" borderId="17" xfId="0" applyNumberFormat="1" applyFont="1" applyFill="1" applyBorder="1" applyAlignment="1">
      <x:alignment wrapText="1"/>
    </x:xf>
    <x:xf numFmtId="0" fontId="12" fillId="6" borderId="18" xfId="0" applyNumberFormat="1" applyFont="1" applyFill="1" applyBorder="1" applyAlignment="1">
      <x:alignment wrapText="1"/>
    </x:xf>
    <x:xf numFmtId="0" fontId="9" fillId="4" borderId="18" xfId="0" applyNumberFormat="1" applyFont="1" applyFill="1" applyBorder="1" applyAlignment="1">
      <x:alignment wrapText="1"/>
    </x:xf>
    <x:xf numFmtId="200" fontId="9" fillId="4" borderId="19" xfId="0" applyNumberFormat="1" applyFont="1" applyFill="1" applyBorder="1" applyAlignment="1">
      <x:alignment wrapText="1"/>
    </x:xf>
    <x:xf numFmtId="0" fontId="9" fillId="5" borderId="18" xfId="0" applyNumberFormat="1" applyFont="1" applyFill="1" applyBorder="1" applyAlignment="1">
      <x:alignment wrapText="1"/>
    </x:xf>
    <x:xf numFmtId="200" fontId="9" fillId="5" borderId="19" xfId="0" applyNumberFormat="1" applyFont="1" applyFill="1" applyBorder="1" applyAlignment="1">
      <x:alignment wrapText="1"/>
    </x:xf>
    <x:xf numFmtId="0" fontId="12" fillId="6" borderId="20" xfId="0" applyNumberFormat="1" applyFont="1" applyFill="1" applyBorder="1" applyAlignment="1">
      <x:alignment wrapText="1"/>
    </x:xf>
    <x:xf numFmtId="0" fontId="9" fillId="4" borderId="1" xfId="0" applyNumberFormat="1" applyFont="1" applyFill="1" applyBorder="1" applyAlignment="1">
      <x:alignment wrapText="1"/>
    </x:xf>
    <x:xf numFmtId="0" fontId="9" fillId="4" borderId="2" xfId="0" applyNumberFormat="1" applyFont="1" applyFill="1" applyBorder="1" applyAlignment="1">
      <x:alignment wrapText="1"/>
    </x:xf>
    <x:xf numFmtId="0" fontId="9" fillId="4" borderId="3" xfId="0" applyNumberFormat="1" applyFont="1" applyFill="1" applyBorder="1" applyAlignment="1">
      <x:alignment wrapText="1"/>
    </x:xf>
    <x:xf numFmtId="200" fontId="13" fillId="5" borderId="0" xfId="0" applyNumberFormat="1" applyFont="1" applyFill="1" applyBorder="1" applyAlignment="1">
      <x:alignment wrapText="1"/>
    </x:xf>
    <x:xf numFmtId="0" fontId="13" fillId="5" borderId="0" xfId="0" applyNumberFormat="1" applyFont="1" applyFill="1" applyBorder="1" applyAlignment="1">
      <x:alignment wrapText="1"/>
    </x:xf>
    <x:xf numFmtId="200" fontId="12" fillId="0" borderId="0" xfId="0" applyNumberFormat="1" applyFont="1" applyFill="1" applyBorder="1" applyAlignment="1">
      <x:alignment wrapText="1"/>
    </x:xf>
    <x:xf numFmtId="0" fontId="9" fillId="4" borderId="22" xfId="0" applyNumberFormat="1" applyFont="1" applyFill="1" applyBorder="1" applyAlignment="1">
      <x:alignment wrapText="1"/>
    </x:xf>
    <x:xf numFmtId="200" fontId="9" fillId="4" borderId="22" xfId="0" applyNumberFormat="1" applyFont="1" applyFill="1" applyBorder="1" applyAlignment="1">
      <x:alignment wrapText="1"/>
    </x:xf>
    <x:xf numFmtId="0" fontId="11" fillId="5" borderId="0" xfId="0" applyNumberFormat="1" applyFont="1" applyFill="1" applyBorder="1" applyAlignment="1">
      <x:alignment vertical="center" wrapText="1"/>
    </x:xf>
    <x:xf numFmtId="203" fontId="9" fillId="10" borderId="21" xfId="0" applyNumberFormat="1" applyFont="1" applyFill="1" applyBorder="1" applyAlignment="1">
      <x:alignment wrapText="1"/>
    </x:xf>
    <x:xf numFmtId="204" fontId="12" fillId="6" borderId="16" xfId="0" applyNumberFormat="1" applyFont="1" applyFill="1" applyBorder="1" applyAlignment="1">
      <x:alignment wrapText="1"/>
    </x:xf>
    <x:xf numFmtId="200" fontId="12" fillId="6" borderId="23" xfId="0" applyNumberFormat="1" applyFont="1" applyFill="1" applyBorder="1" applyAlignment="1">
      <x:alignment wrapText="1"/>
    </x:xf>
    <x:xf numFmtId="200" fontId="9" fillId="10" borderId="23" xfId="0" applyNumberFormat="1" applyFont="1" applyFill="1" applyBorder="1" applyAlignment="1">
      <x:alignment wrapText="1"/>
    </x:xf>
    <x:xf numFmtId="0" fontId="12" fillId="6" borderId="23" xfId="0" applyNumberFormat="1" applyFont="1" applyFill="1" applyBorder="1" applyAlignment="1">
      <x:alignment wrapText="1"/>
    </x:xf>
    <x:xf numFmtId="0" fontId="12" fillId="6" borderId="17" xfId="0" applyNumberFormat="1" applyFont="1" applyFill="1" applyBorder="1" applyAlignment="1">
      <x:alignment wrapText="1"/>
    </x:xf>
    <x:xf numFmtId="204" fontId="12" fillId="6" borderId="18" xfId="0" applyNumberFormat="1" applyFont="1" applyFill="1" applyBorder="1" applyAlignment="1">
      <x:alignment wrapText="1"/>
    </x:xf>
    <x:xf numFmtId="200" fontId="12" fillId="6" borderId="24" xfId="0" applyNumberFormat="1" applyFont="1" applyFill="1" applyBorder="1" applyAlignment="1">
      <x:alignment wrapText="1"/>
    </x:xf>
    <x:xf numFmtId="200" fontId="13" fillId="5" borderId="24" xfId="0" applyNumberFormat="1" applyFont="1" applyFill="1" applyBorder="1" applyAlignment="1">
      <x:alignment wrapText="1"/>
    </x:xf>
    <x:xf numFmtId="0" fontId="12" fillId="6" borderId="24" xfId="0" applyNumberFormat="1" applyFont="1" applyFill="1" applyBorder="1" applyAlignment="1">
      <x:alignment wrapText="1"/>
    </x:xf>
    <x:xf numFmtId="0" fontId="12" fillId="6" borderId="19" xfId="0" applyNumberFormat="1" applyFont="1" applyFill="1" applyBorder="1" applyAlignment="1">
      <x:alignment wrapText="1"/>
    </x:xf>
    <x:xf numFmtId="204" fontId="12" fillId="6" borderId="20" xfId="0" applyNumberFormat="1" applyFont="1" applyFill="1" applyBorder="1" applyAlignment="1">
      <x:alignment wrapText="1"/>
    </x:xf>
    <x:xf numFmtId="200" fontId="12" fillId="6" borderId="25" xfId="0" applyNumberFormat="1" applyFont="1" applyFill="1" applyBorder="1" applyAlignment="1">
      <x:alignment wrapText="1"/>
    </x:xf>
    <x:xf numFmtId="200" fontId="13" fillId="5" borderId="25" xfId="0" applyNumberFormat="1" applyFont="1" applyFill="1" applyBorder="1" applyAlignment="1">
      <x:alignment wrapText="1"/>
    </x:xf>
    <x:xf numFmtId="0" fontId="12" fillId="6" borderId="25" xfId="0" applyNumberFormat="1" applyFont="1" applyFill="1" applyBorder="1" applyAlignment="1">
      <x:alignment wrapText="1"/>
    </x:xf>
    <x:xf numFmtId="0" fontId="12" fillId="6" borderId="21" xfId="0" applyNumberFormat="1" applyFont="1" applyFill="1" applyBorder="1" applyAlignment="1">
      <x:alignment wrapText="1"/>
    </x:xf>
    <x:xf numFmtId="203" fontId="13" fillId="5" borderId="17" xfId="0" applyNumberFormat="1" applyFont="1" applyFill="1" applyBorder="1" applyAlignment="1">
      <x:alignment wrapText="1"/>
    </x:xf>
    <x:xf numFmtId="0" fontId="0" fillId="6" borderId="23" xfId="0" applyNumberFormat="1" applyFont="1" applyFill="1" applyBorder="1"/>
    <x:xf numFmtId="0" fontId="0" fillId="6" borderId="24" xfId="0" applyNumberFormat="1" applyFont="1" applyFill="1" applyBorder="1"/>
    <x:xf numFmtId="0" fontId="0" fillId="6" borderId="25" xfId="0" applyNumberFormat="1" applyFont="1" applyFill="1" applyBorder="1"/>
    <x:xf numFmtId="0" fontId="14" fillId="6" borderId="16" xfId="0" applyNumberFormat="1" applyFont="1" applyFill="1" applyBorder="1" applyAlignment="1">
      <x:alignment wrapText="1"/>
    </x:xf>
    <x:xf numFmtId="0" fontId="14" fillId="6" borderId="18" xfId="0" applyNumberFormat="1" applyFont="1" applyFill="1" applyBorder="1" applyAlignment="1">
      <x:alignment wrapText="1"/>
    </x:xf>
    <x:xf numFmtId="0" fontId="14" fillId="6" borderId="2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200" fontId="4" fillId="5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200" fontId="4" fillId="6" borderId="0" xfId="0" applyNumberFormat="1" applyFont="1" applyFill="1" applyBorder="1" applyAlignment="1">
      <x:alignment wrapText="1"/>
    </x:xf>
    <x:xf numFmtId="0" fontId="4" fillId="4" borderId="26" xfId="0" applyNumberFormat="1" applyFont="1" applyFill="1" applyBorder="1" applyAlignment="1">
      <x:alignment wrapText="1"/>
    </x:xf>
    <x:xf numFmtId="0" fontId="4" fillId="4" borderId="27" xfId="0" applyNumberFormat="1" applyFont="1" applyFill="1" applyBorder="1" applyAlignment="1">
      <x:alignment wrapText="1"/>
    </x:xf>
    <x:xf numFmtId="0" fontId="4" fillId="4" borderId="28" xfId="0" applyNumberFormat="1" applyFont="1" applyFill="1" applyBorder="1" applyAlignment="1">
      <x:alignment wrapText="1"/>
    </x:xf>
    <x:xf numFmtId="0" fontId="5" fillId="5" borderId="29" xfId="0" applyNumberFormat="1" applyFont="1" applyFill="1" applyBorder="1" applyAlignment="1">
      <x:alignment wrapText="1"/>
    </x:xf>
    <x:xf numFmtId="0" fontId="5" fillId="5" borderId="19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5" fillId="5" borderId="30" xfId="0" applyNumberFormat="1" applyFont="1" applyFill="1" applyBorder="1" applyAlignment="1">
      <x:alignment wrapText="1"/>
    </x:xf>
    <x:xf numFmtId="0" fontId="5" fillId="5" borderId="31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wrapText="1"/>
    </x:xf>
    <x:xf numFmtId="203" fontId="0" fillId="6" borderId="0" xfId="0" applyNumberFormat="1" applyFont="1" applyFill="1" applyBorder="1" applyAlignment="1">
      <x:alignment wrapText="1"/>
    </x:xf>
    <x:xf numFmtId="203" fontId="6" fillId="6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vertical="center"/>
    </x:xf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0" fontId="10" fillId="11" borderId="0" xfId="0" applyNumberFormat="1" applyFont="1" applyFill="1" applyBorder="1" applyAlignment="1">
      <x:alignment vertical="center" wrapText="1"/>
    </x:xf>
    <x:xf numFmtId="203" fontId="13" fillId="5" borderId="0" xfId="0" applyNumberFormat="1" applyFont="1" applyFill="1" applyBorder="1" applyAlignment="1">
      <x:alignment wrapText="1"/>
    </x:xf>
    <x:xf numFmtId="203" fontId="12" fillId="0" borderId="0" xfId="0" applyNumberFormat="1" applyFont="1" applyFill="1" applyBorder="1" applyAlignment="1">
      <x:alignment wrapText="1"/>
    </x:xf>
    <x:xf numFmtId="0" fontId="9" fillId="6" borderId="4" xfId="0" applyNumberFormat="1" applyFont="1" applyFill="1" applyBorder="1" applyAlignment="1">
      <x:alignment wrapText="1"/>
    </x:xf>
    <x:xf numFmtId="200" fontId="9" fillId="6" borderId="4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10" fillId="8" borderId="0" xfId="0" applyNumberFormat="1" applyFont="1" applyFill="1" applyBorder="1" applyAlignment="1">
      <x:alignment vertical="center" wrapText="1"/>
    </x:xf>
    <x:xf numFmtId="200" fontId="15" fillId="6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/>
    <x:xf numFmtId="0" fontId="16" fillId="6" borderId="0" xfId="0" applyNumberFormat="1" applyFont="1" applyFill="1" applyBorder="1"/>
    <x:xf numFmtId="0" fontId="16" fillId="6" borderId="22" xfId="0" applyNumberFormat="1" applyFont="1" applyFill="1" applyBorder="1"/>
    <x:xf numFmtId="200" fontId="16" fillId="6" borderId="22" xfId="0" applyNumberFormat="1" applyFont="1" applyFill="1" applyBorder="1"/>
    <x:xf numFmtId="0" fontId="16" fillId="4" borderId="0" xfId="0" applyNumberFormat="1" applyFont="1" applyFill="1" applyBorder="1"/>
    <x:xf numFmtId="0" fontId="17" fillId="5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33" xfId="0" applyNumberFormat="1" applyFont="1" applyFill="1" applyBorder="1"/>
    <x:xf numFmtId="0" fontId="7" fillId="6" borderId="34" xfId="0" applyNumberFormat="1" applyFont="1" applyFill="1" applyBorder="1"/>
    <x:xf numFmtId="0" fontId="7" fillId="6" borderId="35" xfId="0" applyNumberFormat="1" applyFont="1" applyFill="1" applyBorder="1"/>
    <x:xf numFmtId="200" fontId="7" fillId="6" borderId="33" xfId="0" applyNumberFormat="1" applyFont="1" applyFill="1" applyBorder="1"/>
    <x:xf numFmtId="200" fontId="7" fillId="6" borderId="34" xfId="0" applyNumberFormat="1" applyFont="1" applyFill="1" applyBorder="1"/>
    <x:xf numFmtId="200" fontId="7" fillId="6" borderId="35" xfId="0" applyNumberFormat="1" applyFont="1" applyFill="1" applyBorder="1"/>
    <x:xf numFmtId="0" fontId="16" fillId="6" borderId="0" xfId="0" applyNumberFormat="1" applyFont="1" applyFill="1" applyBorder="1" applyAlignment="1">
      <x:alignment wrapText="1"/>
    </x:xf>
    <x:xf numFmtId="200" fontId="16" fillId="6" borderId="22" xfId="0" applyNumberFormat="1" applyFont="1" applyFill="1" applyBorder="1" applyAlignment="1">
      <x:alignment wrapText="1"/>
    </x:xf>
    <x:xf numFmtId="0" fontId="16" fillId="4" borderId="0" xfId="0" applyNumberFormat="1" applyFont="1" applyFill="1" applyBorder="1" applyAlignment="1">
      <x:alignment wrapText="1"/>
    </x:xf>
    <x:xf numFmtId="200" fontId="7" fillId="6" borderId="33" xfId="0" applyNumberFormat="1" applyFont="1" applyFill="1" applyBorder="1" applyAlignment="1">
      <x:alignment wrapText="1"/>
    </x:xf>
    <x:xf numFmtId="200" fontId="7" fillId="6" borderId="34" xfId="0" applyNumberFormat="1" applyFont="1" applyFill="1" applyBorder="1" applyAlignment="1">
      <x:alignment wrapText="1"/>
    </x:xf>
    <x:xf numFmtId="0" fontId="17" fillId="5" borderId="0" xfId="0" applyNumberFormat="1" applyFont="1" applyFill="1" applyBorder="1" applyAlignment="1">
      <x:alignment wrapText="1"/>
    </x:xf>
    <x:xf numFmtId="200" fontId="7" fillId="6" borderId="35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wrapText="1"/>
    </x:xf>
    <x:xf numFmtId="0" fontId="18" fillId="6" borderId="0" xfId="0" applyNumberFormat="1" applyFont="1" applyFill="1" applyBorder="1" applyAlignment="1">
      <x:alignment wrapText="1"/>
    </x:xf>
    <x:xf numFmtId="200" fontId="18" fillId="6" borderId="22" xfId="0" applyNumberFormat="1" applyFont="1" applyFill="1" applyBorder="1" applyAlignment="1">
      <x:alignment wrapText="1"/>
    </x:xf>
    <x:xf numFmtId="0" fontId="18" fillId="4" borderId="0" xfId="0" applyNumberFormat="1" applyFont="1" applyFill="1" applyBorder="1" applyAlignment="1">
      <x:alignment wrapText="1"/>
    </x:xf>
    <x:xf numFmtId="200" fontId="9" fillId="6" borderId="33" xfId="0" applyNumberFormat="1" applyFont="1" applyFill="1" applyBorder="1" applyAlignment="1">
      <x:alignment wrapText="1"/>
    </x:xf>
    <x:xf numFmtId="200" fontId="9" fillId="6" borderId="34" xfId="0" applyNumberFormat="1" applyFont="1" applyFill="1" applyBorder="1" applyAlignment="1">
      <x:alignment wrapText="1"/>
    </x:xf>
    <x:xf numFmtId="0" fontId="19" fillId="5" borderId="0" xfId="0" applyNumberFormat="1" applyFont="1" applyFill="1" applyBorder="1" applyAlignment="1">
      <x:alignment wrapText="1"/>
    </x:xf>
    <x:xf numFmtId="200" fontId="9" fillId="6" borderId="35" xfId="0" applyNumberFormat="1" applyFont="1" applyFill="1" applyBorder="1" applyAlignment="1">
      <x:alignment wrapText="1"/>
    </x:xf>
    <x:xf numFmtId="0" fontId="0" fillId="10" borderId="24" xfId="0" applyNumberFormat="1" applyFont="1" applyFill="1" applyBorder="1" applyAlignment="1">
      <x:alignment wrapText="1"/>
    </x:xf>
    <x:xf numFmtId="0" fontId="0" fillId="10" borderId="25" xfId="0" applyNumberFormat="1" applyFont="1" applyFill="1" applyBorder="1" applyAlignment="1">
      <x:alignment wrapText="1"/>
    </x:xf>
    <x:xf numFmtId="0" fontId="7" fillId="10" borderId="23" xfId="0" applyNumberFormat="1" applyFont="1" applyFill="1" applyBorder="1" applyAlignment="1">
      <x:alignment wrapText="1"/>
    </x:xf>
    <x:xf numFmtId="0" fontId="7" fillId="10" borderId="24" xfId="0" applyNumberFormat="1" applyFont="1" applyFill="1" applyBorder="1" applyAlignment="1">
      <x:alignment wrapText="1"/>
    </x:xf>
    <x:xf numFmtId="0" fontId="7" fillId="10" borderId="25" xfId="0" applyNumberFormat="1" applyFont="1" applyFill="1" applyBorder="1" applyAlignment="1">
      <x:alignment wrapText="1"/>
    </x:xf>
    <x:xf numFmtId="200" fontId="7" fillId="10" borderId="23" xfId="0" applyNumberFormat="1" applyFont="1" applyFill="1" applyBorder="1" applyAlignment="1">
      <x:alignment wrapText="1"/>
    </x:xf>
    <x:xf numFmtId="200" fontId="7" fillId="10" borderId="24" xfId="0" applyNumberFormat="1" applyFont="1" applyFill="1" applyBorder="1" applyAlignment="1">
      <x:alignment wrapText="1"/>
    </x:xf>
    <x:xf numFmtId="200" fontId="7" fillId="10" borderId="25" xfId="0" applyNumberFormat="1" applyFont="1" applyFill="1" applyBorder="1" applyAlignment="1">
      <x:alignment wrapText="1"/>
    </x:xf>
    <x:xf numFmtId="0" fontId="0" fillId="5" borderId="18" xfId="0" applyNumberFormat="1" applyFont="1" applyFill="1" applyBorder="1" applyAlignment="1">
      <x:alignment wrapText="1"/>
    </x:xf>
    <x:xf numFmtId="200" fontId="7" fillId="5" borderId="24" xfId="0" applyNumberFormat="1" applyFont="1" applyFill="1" applyBorder="1" applyAlignment="1">
      <x:alignment wrapText="1"/>
    </x:xf>
    <x:xf numFmtId="0" fontId="0" fillId="5" borderId="19" xfId="0" applyNumberFormat="1" applyFont="1" applyFill="1" applyBorder="1" applyAlignment="1">
      <x:alignment wrapText="1"/>
    </x:xf>
    <x:xf numFmtId="0" fontId="4" fillId="5" borderId="19" xfId="0" applyNumberFormat="1" applyFont="1" applyFill="1" applyBorder="1" applyAlignment="1">
      <x:alignment wrapText="1"/>
    </x:xf>
    <x:xf numFmtId="0" fontId="0" fillId="4" borderId="20" xfId="0" applyNumberFormat="1" applyFont="1" applyFill="1" applyBorder="1" applyAlignment="1">
      <x:alignment wrapText="1"/>
    </x:xf>
    <x:xf numFmtId="200" fontId="7" fillId="4" borderId="25" xfId="0" applyNumberFormat="1" applyFont="1" applyFill="1" applyBorder="1" applyAlignment="1">
      <x:alignment wrapText="1"/>
    </x:xf>
    <x:xf numFmtId="0" fontId="0" fillId="4" borderId="21" xfId="0" applyNumberFormat="1" applyFont="1" applyFill="1" applyBorder="1" applyAlignment="1">
      <x:alignment wrapText="1"/>
    </x:xf>
    <x:xf numFmtId="0" fontId="4" fillId="4" borderId="20" xfId="0" applyNumberFormat="1" applyFont="1" applyFill="1" applyBorder="1" applyAlignment="1">
      <x:alignment wrapText="1"/>
    </x:xf>
    <x:xf numFmtId="0" fontId="4" fillId="4" borderId="21" xfId="0" applyNumberFormat="1" applyFont="1" applyFill="1" applyBorder="1" applyAlignment="1">
      <x:alignment wrapText="1"/>
    </x:xf>
    <x:xf numFmtId="0" fontId="0" fillId="6" borderId="16" xfId="0" applyNumberFormat="1" applyFont="1" applyFill="1" applyBorder="1" applyAlignment="1">
      <x:alignment vertical="center" wrapText="1"/>
    </x:xf>
    <x:xf numFmtId="0" fontId="0" fillId="6" borderId="23" xfId="0" applyNumberFormat="1" applyFont="1" applyFill="1" applyBorder="1" applyAlignment="1">
      <x:alignment vertical="center" wrapText="1"/>
    </x:xf>
    <x:xf numFmtId="0" fontId="0" fillId="6" borderId="17" xfId="0" applyNumberFormat="1" applyFont="1" applyFill="1" applyBorder="1" applyAlignment="1">
      <x:alignment vertical="center" wrapText="1"/>
    </x:xf>
    <x:xf numFmtId="0" fontId="0" fillId="6" borderId="18" xfId="0" applyNumberFormat="1" applyFont="1" applyFill="1" applyBorder="1" applyAlignment="1">
      <x:alignment vertical="center" wrapText="1"/>
    </x:xf>
    <x:xf numFmtId="0" fontId="0" fillId="6" borderId="24" xfId="0" applyNumberFormat="1" applyFont="1" applyFill="1" applyBorder="1" applyAlignment="1">
      <x:alignment vertical="center" wrapText="1"/>
    </x:xf>
    <x:xf numFmtId="0" fontId="0" fillId="6" borderId="19" xfId="0" applyNumberFormat="1" applyFont="1" applyFill="1" applyBorder="1" applyAlignment="1">
      <x:alignment vertical="center" wrapText="1"/>
    </x:xf>
    <x:xf numFmtId="0" fontId="0" fillId="6" borderId="20" xfId="0" applyNumberFormat="1" applyFont="1" applyFill="1" applyBorder="1" applyAlignment="1">
      <x:alignment vertical="center" wrapText="1"/>
    </x:xf>
    <x:xf numFmtId="0" fontId="0" fillId="6" borderId="25" xfId="0" applyNumberFormat="1" applyFont="1" applyFill="1" applyBorder="1" applyAlignment="1">
      <x:alignment vertical="center" wrapText="1"/>
    </x:xf>
    <x:xf numFmtId="0" fontId="0" fillId="6" borderId="21" xfId="0" applyNumberFormat="1" applyFont="1" applyFill="1" applyBorder="1" applyAlignment="1">
      <x:alignment vertical="center" wrapText="1"/>
    </x:xf>
    <x:xf numFmtId="0" fontId="4" fillId="6" borderId="16" xfId="0" applyNumberFormat="1" applyFont="1" applyFill="1" applyBorder="1" applyAlignment="1">
      <x:alignment vertical="center" wrapText="1"/>
    </x:xf>
    <x:xf numFmtId="0" fontId="4" fillId="6" borderId="18" xfId="0" applyNumberFormat="1" applyFont="1" applyFill="1" applyBorder="1" applyAlignment="1">
      <x:alignment vertical="center" wrapText="1"/>
    </x:xf>
    <x:xf numFmtId="0" fontId="4" fillId="6" borderId="20" xfId="0" applyNumberFormat="1" applyFont="1" applyFill="1" applyBorder="1" applyAlignment="1">
      <x:alignment vertical="center" wrapText="1"/>
    </x:xf>
    <x:xf numFmtId="0" fontId="4" fillId="6" borderId="16" xfId="0" applyNumberFormat="1" applyFont="1" applyFill="1" applyBorder="1" applyAlignment="1">
      <x:alignment horizontal="center" vertical="center" wrapText="1"/>
    </x:xf>
    <x:xf numFmtId="0" fontId="4" fillId="6" borderId="18" xfId="0" applyNumberFormat="1" applyFont="1" applyFill="1" applyBorder="1" applyAlignment="1">
      <x:alignment horizontal="center" vertical="center" wrapText="1"/>
    </x:xf>
    <x:xf numFmtId="0" fontId="4" fillId="6" borderId="20" xfId="0" applyNumberFormat="1" applyFont="1" applyFill="1" applyBorder="1" applyAlignment="1">
      <x:alignment horizontal="center" vertical="center" wrapText="1"/>
    </x:xf>
    <x:xf numFmtId="0" fontId="4" fillId="4" borderId="16" xfId="0" applyNumberFormat="1" applyFont="1" applyFill="1" applyBorder="1" applyAlignment="1">
      <x:alignment horizontal="center" vertical="center" wrapText="1"/>
    </x:xf>
    <x:xf numFmtId="0" fontId="4" fillId="4" borderId="18" xfId="0" applyNumberFormat="1" applyFont="1" applyFill="1" applyBorder="1" applyAlignment="1">
      <x:alignment horizontal="center" vertical="center" wrapText="1"/>
    </x:xf>
    <x:xf numFmtId="0" fontId="16" fillId="4" borderId="16" xfId="0" applyNumberFormat="1" applyFont="1" applyFill="1" applyBorder="1" applyAlignment="1">
      <x:alignment horizontal="center" vertical="center" wrapText="1"/>
    </x:xf>
    <x:xf numFmtId="0" fontId="16" fillId="4" borderId="18" xfId="0" applyNumberFormat="1" applyFont="1" applyFill="1" applyBorder="1" applyAlignment="1">
      <x:alignment horizontal="center" vertical="center" wrapText="1"/>
    </x:xf>
    <x:xf numFmtId="0" fontId="4" fillId="12" borderId="20" xfId="0" applyNumberFormat="1" applyFont="1" applyFill="1" applyBorder="1" applyAlignment="1">
      <x:alignment horizontal="center" vertical="center" wrapText="1"/>
    </x:xf>
    <x:xf numFmtId="0" fontId="20" fillId="12" borderId="20" xfId="0" applyNumberFormat="1" applyFont="1" applyFill="1" applyBorder="1" applyAlignment="1">
      <x:alignment horizontal="center" vertical="center" wrapText="1"/>
    </x:xf>
    <x:xf numFmtId="0" fontId="0" fillId="5" borderId="17" xfId="0" applyNumberFormat="1" applyFont="1" applyFill="1" applyBorder="1" applyAlignment="1">
      <x:alignment vertical="center" wrapText="1"/>
    </x:xf>
    <x:xf numFmtId="0" fontId="21" fillId="5" borderId="17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vertical="center" wrapText="1"/>
    </x:xf>
    <x:xf numFmtId="200" fontId="9" fillId="5" borderId="24" xfId="0" applyNumberFormat="1" applyFont="1" applyFill="1" applyBorder="1" applyAlignment="1">
      <x:alignment wrapText="1"/>
    </x:xf>
    <x:xf numFmtId="0" fontId="9" fillId="5" borderId="19" xfId="0" applyNumberFormat="1" applyFont="1" applyFill="1" applyBorder="1" applyAlignment="1">
      <x:alignment wrapText="1"/>
    </x:xf>
    <x:xf numFmtId="0" fontId="18" fillId="4" borderId="16" xfId="0" applyNumberFormat="1" applyFont="1" applyFill="1" applyBorder="1" applyAlignment="1">
      <x:alignment horizontal="center" vertical="center" wrapText="1"/>
    </x:xf>
    <x:xf numFmtId="0" fontId="12" fillId="6" borderId="23" xfId="0" applyNumberFormat="1" applyFont="1" applyFill="1" applyBorder="1" applyAlignment="1">
      <x:alignment vertical="center" wrapText="1"/>
    </x:xf>
    <x:xf numFmtId="0" fontId="22" fillId="5" borderId="17" xfId="0" applyNumberFormat="1" applyFont="1" applyFill="1" applyBorder="1" applyAlignment="1">
      <x:alignment vertical="center" wrapText="1"/>
    </x:xf>
    <x:xf numFmtId="0" fontId="18" fillId="4" borderId="18" xfId="0" applyNumberFormat="1" applyFont="1" applyFill="1" applyBorder="1" applyAlignment="1">
      <x:alignment horizontal="center" vertical="center" wrapText="1"/>
    </x:xf>
    <x:xf numFmtId="0" fontId="12" fillId="6" borderId="24" xfId="0" applyNumberFormat="1" applyFont="1" applyFill="1" applyBorder="1" applyAlignment="1">
      <x:alignment vertical="center" wrapText="1"/>
    </x:xf>
    <x:xf numFmtId="0" fontId="12" fillId="6" borderId="19" xfId="0" applyNumberFormat="1" applyFont="1" applyFill="1" applyBorder="1" applyAlignment="1">
      <x:alignment vertical="center" wrapText="1"/>
    </x:xf>
    <x:xf numFmtId="0" fontId="9" fillId="4" borderId="20" xfId="0" applyNumberFormat="1" applyFont="1" applyFill="1" applyBorder="1" applyAlignment="1">
      <x:alignment wrapText="1"/>
    </x:xf>
    <x:xf numFmtId="200" fontId="9" fillId="4" borderId="25" xfId="0" applyNumberFormat="1" applyFont="1" applyFill="1" applyBorder="1" applyAlignment="1">
      <x:alignment wrapText="1"/>
    </x:xf>
    <x:xf numFmtId="0" fontId="9" fillId="4" borderId="21" xfId="0" applyNumberFormat="1" applyFont="1" applyFill="1" applyBorder="1" applyAlignment="1">
      <x:alignment wrapText="1"/>
    </x:xf>
    <x:xf numFmtId="0" fontId="23" fillId="12" borderId="20" xfId="0" applyNumberFormat="1" applyFont="1" applyFill="1" applyBorder="1" applyAlignment="1">
      <x:alignment horizontal="center" vertical="center" wrapText="1"/>
    </x:xf>
    <x:xf numFmtId="0" fontId="12" fillId="6" borderId="25" xfId="0" applyNumberFormat="1" applyFont="1" applyFill="1" applyBorder="1" applyAlignment="1">
      <x:alignment vertical="center" wrapText="1"/>
    </x:xf>
    <x:xf numFmtId="0" fontId="12" fillId="6" borderId="21" xfId="0" applyNumberFormat="1" applyFont="1" applyFill="1" applyBorder="1" applyAlignment="1">
      <x:alignment vertical="center" wrapText="1"/>
    </x:xf>
    <x:xf numFmtId="0" fontId="11" fillId="12" borderId="0" xfId="0" applyNumberFormat="1" applyFont="1" applyFill="1" applyBorder="1" applyAlignment="1">
      <x:alignment vertical="center" wrapText="1"/>
    </x:xf>
    <x:xf numFmtId="0" fontId="24" fillId="11" borderId="0" xfId="0" applyNumberFormat="1" applyFont="1" applyFill="1" applyBorder="1" applyAlignment="1">
      <x:alignment vertical="center" wrapText="1"/>
    </x:xf>
    <x:xf numFmtId="0" fontId="25" fillId="0" borderId="0" xfId="0" applyNumberFormat="1" applyFont="1" applyFill="1" applyBorder="1" applyAlignment="1">
      <x:alignment wrapText="1"/>
    </x:xf>
    <x:xf numFmtId="0" fontId="26" fillId="0" borderId="0" xfId="0" applyNumberFormat="1" applyFont="1" applyFill="1" applyBorder="1" applyAlignment="1">
      <x:alignment wrapText="1"/>
    </x:xf>
    <x:xf numFmtId="0" fontId="24" fillId="3" borderId="0" xfId="0" applyNumberFormat="1" applyFont="1" applyFill="1" applyBorder="1" applyAlignment="1">
      <x:alignment vertical="center" wrapText="1"/>
    </x:xf>
    <x:xf numFmtId="0" fontId="25" fillId="6" borderId="16" xfId="0" applyNumberFormat="1" applyFont="1" applyFill="1" applyBorder="1" applyAlignment="1">
      <x:alignment wrapText="1"/>
    </x:xf>
    <x:xf numFmtId="200" fontId="24" fillId="10" borderId="23" xfId="0" applyNumberFormat="1" applyFont="1" applyFill="1" applyBorder="1" applyAlignment="1">
      <x:alignment wrapText="1"/>
    </x:xf>
    <x:xf numFmtId="0" fontId="25" fillId="6" borderId="17" xfId="0" applyNumberFormat="1" applyFont="1" applyFill="1" applyBorder="1" applyAlignment="1">
      <x:alignment wrapText="1"/>
    </x:xf>
    <x:xf numFmtId="0" fontId="24" fillId="4" borderId="1" xfId="0" applyNumberFormat="1" applyFont="1" applyFill="1" applyBorder="1" applyAlignment="1">
      <x:alignment wrapText="1"/>
    </x:xf>
    <x:xf numFmtId="0" fontId="24" fillId="4" borderId="2" xfId="0" applyNumberFormat="1" applyFont="1" applyFill="1" applyBorder="1" applyAlignment="1">
      <x:alignment wrapText="1"/>
    </x:xf>
    <x:xf numFmtId="0" fontId="24" fillId="4" borderId="3" xfId="0" applyNumberFormat="1" applyFont="1" applyFill="1" applyBorder="1" applyAlignment="1">
      <x:alignment wrapText="1"/>
    </x:xf>
    <x:xf numFmtId="0" fontId="24" fillId="5" borderId="18" xfId="0" applyNumberFormat="1" applyFont="1" applyFill="1" applyBorder="1" applyAlignment="1">
      <x:alignment wrapText="1"/>
    </x:xf>
    <x:xf numFmtId="200" fontId="24" fillId="5" borderId="24" xfId="0" applyNumberFormat="1" applyFont="1" applyFill="1" applyBorder="1" applyAlignment="1">
      <x:alignment wrapText="1"/>
    </x:xf>
    <x:xf numFmtId="0" fontId="24" fillId="5" borderId="19" xfId="0" applyNumberFormat="1" applyFont="1" applyFill="1" applyBorder="1" applyAlignment="1">
      <x:alignment wrapText="1"/>
    </x:xf>
    <x:xf numFmtId="0" fontId="24" fillId="4" borderId="16" xfId="0" applyNumberFormat="1" applyFont="1" applyFill="1" applyBorder="1" applyAlignment="1">
      <x:alignment horizontal="center" vertical="center" wrapText="1"/>
    </x:xf>
    <x:xf numFmtId="0" fontId="25" fillId="6" borderId="23" xfId="0" applyNumberFormat="1" applyFont="1" applyFill="1" applyBorder="1" applyAlignment="1">
      <x:alignment vertical="center" wrapText="1"/>
    </x:xf>
    <x:xf numFmtId="0" fontId="24" fillId="5" borderId="17" xfId="0" applyNumberFormat="1" applyFont="1" applyFill="1" applyBorder="1" applyAlignment="1">
      <x:alignment vertical="center" wrapText="1"/>
    </x:xf>
    <x:xf numFmtId="0" fontId="24" fillId="4" borderId="18" xfId="0" applyNumberFormat="1" applyFont="1" applyFill="1" applyBorder="1" applyAlignment="1">
      <x:alignment horizontal="center" vertical="center" wrapText="1"/>
    </x:xf>
    <x:xf numFmtId="0" fontId="25" fillId="6" borderId="24" xfId="0" applyNumberFormat="1" applyFont="1" applyFill="1" applyBorder="1" applyAlignment="1">
      <x:alignment vertical="center" wrapText="1"/>
    </x:xf>
    <x:xf numFmtId="0" fontId="25" fillId="6" borderId="19" xfId="0" applyNumberFormat="1" applyFont="1" applyFill="1" applyBorder="1" applyAlignment="1">
      <x:alignment vertical="center" wrapText="1"/>
    </x:xf>
    <x:xf numFmtId="0" fontId="24" fillId="4" borderId="20" xfId="0" applyNumberFormat="1" applyFont="1" applyFill="1" applyBorder="1" applyAlignment="1">
      <x:alignment wrapText="1"/>
    </x:xf>
    <x:xf numFmtId="200" fontId="24" fillId="4" borderId="25" xfId="0" applyNumberFormat="1" applyFont="1" applyFill="1" applyBorder="1" applyAlignment="1">
      <x:alignment wrapText="1"/>
    </x:xf>
    <x:xf numFmtId="0" fontId="24" fillId="4" borderId="21" xfId="0" applyNumberFormat="1" applyFont="1" applyFill="1" applyBorder="1" applyAlignment="1">
      <x:alignment wrapText="1"/>
    </x:xf>
    <x:xf numFmtId="0" fontId="24" fillId="12" borderId="20" xfId="0" applyNumberFormat="1" applyFont="1" applyFill="1" applyBorder="1" applyAlignment="1">
      <x:alignment horizontal="center" vertical="center" wrapText="1"/>
    </x:xf>
    <x:xf numFmtId="0" fontId="25" fillId="6" borderId="25" xfId="0" applyNumberFormat="1" applyFont="1" applyFill="1" applyBorder="1" applyAlignment="1">
      <x:alignment vertical="center" wrapText="1"/>
    </x:xf>
    <x:xf numFmtId="0" fontId="25" fillId="6" borderId="21" xfId="0" applyNumberFormat="1" applyFont="1" applyFill="1" applyBorder="1" applyAlignment="1">
      <x:alignment vertical="center" wrapText="1"/>
    </x:xf>
    <x:xf numFmtId="0" fontId="26" fillId="12" borderId="0" xfId="0" applyNumberFormat="1" applyFont="1" applyFill="1" applyBorder="1" applyAlignment="1">
      <x:alignment vertical="center" wrapText="1"/>
    </x:xf>
    <x:xf numFmtId="0" fontId="25" fillId="0" borderId="0" xfId="0" applyNumberFormat="1" applyFont="1" applyFill="1" applyBorder="1" applyAlignment="1">
      <x:alignment vertical="center" wrapText="1"/>
    </x:xf>
    <x:xf numFmtId="0" fontId="26" fillId="0" borderId="0" xfId="0" applyNumberFormat="1" applyFont="1" applyFill="1" applyBorder="1" applyAlignment="1">
      <x:alignment vertical="center" wrapText="1"/>
    </x:xf>
    <x:xf numFmtId="0" fontId="25" fillId="6" borderId="16" xfId="0" applyNumberFormat="1" applyFont="1" applyFill="1" applyBorder="1" applyAlignment="1">
      <x:alignment vertical="center" wrapText="1"/>
    </x:xf>
    <x:xf numFmtId="200" fontId="24" fillId="10" borderId="23" xfId="0" applyNumberFormat="1" applyFont="1" applyFill="1" applyBorder="1" applyAlignment="1">
      <x:alignment vertical="center" wrapText="1"/>
    </x:xf>
    <x:xf numFmtId="0" fontId="25" fillId="6" borderId="17" xfId="0" applyNumberFormat="1" applyFont="1" applyFill="1" applyBorder="1" applyAlignment="1">
      <x:alignment vertical="center" wrapText="1"/>
    </x:xf>
    <x:xf numFmtId="0" fontId="24" fillId="4" borderId="1" xfId="0" applyNumberFormat="1" applyFont="1" applyFill="1" applyBorder="1" applyAlignment="1">
      <x:alignment vertical="center" wrapText="1"/>
    </x:xf>
    <x:xf numFmtId="0" fontId="24" fillId="4" borderId="2" xfId="0" applyNumberFormat="1" applyFont="1" applyFill="1" applyBorder="1" applyAlignment="1">
      <x:alignment vertical="center" wrapText="1"/>
    </x:xf>
    <x:xf numFmtId="0" fontId="24" fillId="4" borderId="3" xfId="0" applyNumberFormat="1" applyFont="1" applyFill="1" applyBorder="1" applyAlignment="1">
      <x:alignment vertical="center" wrapText="1"/>
    </x:xf>
    <x:xf numFmtId="0" fontId="24" fillId="5" borderId="18" xfId="0" applyNumberFormat="1" applyFont="1" applyFill="1" applyBorder="1" applyAlignment="1">
      <x:alignment vertical="center" wrapText="1"/>
    </x:xf>
    <x:xf numFmtId="200" fontId="24" fillId="5" borderId="24" xfId="0" applyNumberFormat="1" applyFont="1" applyFill="1" applyBorder="1" applyAlignment="1">
      <x:alignment vertical="center" wrapText="1"/>
    </x:xf>
    <x:xf numFmtId="0" fontId="24" fillId="5" borderId="19" xfId="0" applyNumberFormat="1" applyFont="1" applyFill="1" applyBorder="1" applyAlignment="1">
      <x:alignment vertical="center" wrapText="1"/>
    </x:xf>
    <x:xf numFmtId="0" fontId="24" fillId="4" borderId="20" xfId="0" applyNumberFormat="1" applyFont="1" applyFill="1" applyBorder="1" applyAlignment="1">
      <x:alignment vertical="center" wrapText="1"/>
    </x:xf>
    <x:xf numFmtId="200" fontId="24" fillId="4" borderId="25" xfId="0" applyNumberFormat="1" applyFont="1" applyFill="1" applyBorder="1" applyAlignment="1">
      <x:alignment vertical="center" wrapText="1"/>
    </x:xf>
    <x:xf numFmtId="0" fontId="24" fillId="4" borderId="21" xfId="0" applyNumberFormat="1" applyFont="1" applyFill="1" applyBorder="1" applyAlignment="1">
      <x:alignment vertical="center" wrapText="1"/>
    </x:xf>
    <x:xf numFmtId="0" fontId="27" fillId="11" borderId="0" xfId="0" applyNumberFormat="1" applyFont="1" applyFill="1" applyBorder="1" applyAlignment="1">
      <x:alignment vertical="center" wrapText="1"/>
    </x:xf>
    <x:xf numFmtId="0" fontId="28" fillId="0" borderId="0" xfId="0" applyNumberFormat="1" applyFont="1" applyFill="1" applyBorder="1" applyAlignment="1">
      <x:alignment vertical="center" wrapText="1"/>
    </x:xf>
    <x:xf numFmtId="0" fontId="29" fillId="3" borderId="0" xfId="0" applyNumberFormat="1" applyFont="1" applyFill="1" applyBorder="1" applyAlignment="1">
      <x:alignment vertical="center" wrapText="1"/>
    </x:xf>
    <x:xf numFmtId="0" fontId="29" fillId="11" borderId="0" xfId="0" applyNumberFormat="1" applyFont="1" applyFill="1" applyBorder="1" applyAlignment="1">
      <x:alignment vertical="center" wrapText="1"/>
    </x:xf>
    <x:xf numFmtId="200" fontId="30" fillId="10" borderId="23" xfId="0" applyNumberFormat="1" applyFont="1" applyFill="1" applyBorder="1" applyAlignment="1">
      <x:alignment vertical="center" wrapText="1"/>
    </x:xf>
    <x:xf numFmtId="200" fontId="30" fillId="5" borderId="24" xfId="0" applyNumberFormat="1" applyFont="1" applyFill="1" applyBorder="1" applyAlignment="1">
      <x:alignment vertical="center" wrapText="1"/>
    </x:xf>
    <x:xf numFmtId="200" fontId="30" fillId="4" borderId="25" xfId="0" applyNumberFormat="1" applyFont="1" applyFill="1" applyBorder="1" applyAlignment="1">
      <x:alignment vertical="center" wrapText="1"/>
    </x:xf>
    <x:xf numFmtId="0" fontId="24" fillId="6" borderId="0" xfId="0" applyNumberFormat="1" applyFont="1" applyFill="1" applyBorder="1" applyAlignment="1">
      <x:alignment wrapText="1"/>
    </x:xf>
    <x:xf numFmtId="200" fontId="25" fillId="6" borderId="0" xfId="0" applyNumberFormat="1" applyFont="1" applyFill="1" applyBorder="1" applyAlignment="1">
      <x:alignment wrapText="1"/>
    </x:xf>
    <x:xf numFmtId="200" fontId="25" fillId="5" borderId="0" xfId="0" applyNumberFormat="1" applyFont="1" applyFill="1" applyBorder="1" applyAlignment="1">
      <x:alignment wrapText="1"/>
    </x:xf>
    <x:xf numFmtId="0" fontId="25" fillId="5" borderId="0" xfId="0" applyNumberFormat="1" applyFont="1" applyFill="1" applyBorder="1" applyAlignment="1">
      <x:alignment wrapText="1"/>
    </x:xf>
    <x:xf numFmtId="200" fontId="24" fillId="6" borderId="22" xfId="0" applyNumberFormat="1" applyFont="1" applyFill="1" applyBorder="1" applyAlignment="1">
      <x:alignment wrapText="1"/>
    </x:xf>
    <x:xf numFmtId="0" fontId="24" fillId="4" borderId="0" xfId="0" applyNumberFormat="1" applyFont="1" applyFill="1" applyBorder="1" applyAlignment="1">
      <x:alignment wrapText="1"/>
    </x:xf>
    <x:xf numFmtId="200" fontId="24" fillId="6" borderId="33" xfId="0" applyNumberFormat="1" applyFont="1" applyFill="1" applyBorder="1" applyAlignment="1">
      <x:alignment wrapText="1"/>
    </x:xf>
    <x:xf numFmtId="200" fontId="24" fillId="6" borderId="34" xfId="0" applyNumberFormat="1" applyFont="1" applyFill="1" applyBorder="1" applyAlignment="1">
      <x:alignment wrapText="1"/>
    </x:xf>
    <x:xf numFmtId="0" fontId="24" fillId="5" borderId="0" xfId="0" applyNumberFormat="1" applyFont="1" applyFill="1" applyBorder="1" applyAlignment="1">
      <x:alignment wrapText="1"/>
    </x:xf>
    <x:xf numFmtId="200" fontId="24" fillId="6" borderId="35" xfId="0" applyNumberFormat="1" applyFont="1" applyFill="1" applyBorder="1" applyAlignment="1">
      <x:alignment wrapText="1"/>
    </x:xf>
    <x:xf numFmtId="0" fontId="24" fillId="6" borderId="0" xfId="0" applyNumberFormat="1" applyFont="1" applyFill="1" applyBorder="1" applyAlignment="1">
      <x:alignment vertical="center" wrapText="1"/>
    </x:xf>
    <x:xf numFmtId="200" fontId="25" fillId="6" borderId="0" xfId="0" applyNumberFormat="1" applyFont="1" applyFill="1" applyBorder="1" applyAlignment="1">
      <x:alignment vertical="center" wrapText="1"/>
    </x:xf>
    <x:xf numFmtId="200" fontId="25" fillId="5" borderId="0" xfId="0" applyNumberFormat="1" applyFont="1" applyFill="1" applyBorder="1" applyAlignment="1">
      <x:alignment vertical="center" wrapText="1"/>
    </x:xf>
    <x:xf numFmtId="0" fontId="25" fillId="5" borderId="0" xfId="0" applyNumberFormat="1" applyFont="1" applyFill="1" applyBorder="1" applyAlignment="1">
      <x:alignment vertical="center" wrapText="1"/>
    </x:xf>
    <x:xf numFmtId="200" fontId="24" fillId="6" borderId="22" xfId="0" applyNumberFormat="1" applyFont="1" applyFill="1" applyBorder="1" applyAlignment="1">
      <x:alignment vertical="center" wrapText="1"/>
    </x:xf>
    <x:xf numFmtId="0" fontId="24" fillId="4" borderId="0" xfId="0" applyNumberFormat="1" applyFont="1" applyFill="1" applyBorder="1" applyAlignment="1">
      <x:alignment vertical="center" wrapText="1"/>
    </x:xf>
    <x:xf numFmtId="200" fontId="24" fillId="6" borderId="33" xfId="0" applyNumberFormat="1" applyFont="1" applyFill="1" applyBorder="1" applyAlignment="1">
      <x:alignment vertical="center" wrapText="1"/>
    </x:xf>
    <x:xf numFmtId="200" fontId="24" fillId="6" borderId="34" xfId="0" applyNumberFormat="1" applyFont="1" applyFill="1" applyBorder="1" applyAlignment="1">
      <x:alignment vertical="center" wrapText="1"/>
    </x:xf>
    <x:xf numFmtId="0" fontId="24" fillId="5" borderId="0" xfId="0" applyNumberFormat="1" applyFont="1" applyFill="1" applyBorder="1" applyAlignment="1">
      <x:alignment vertical="center" wrapText="1"/>
    </x:xf>
    <x:xf numFmtId="200" fontId="24" fillId="6" borderId="35" xfId="0" applyNumberFormat="1" applyFont="1" applyFill="1" applyBorder="1" applyAlignment="1">
      <x:alignment vertical="center" wrapText="1"/>
    </x:xf>
    <x:xf numFmtId="200" fontId="31" fillId="6" borderId="0" xfId="0" applyNumberFormat="1" applyFont="1" applyFill="1" applyBorder="1" applyAlignment="1">
      <x:alignment vertical="center" wrapText="1"/>
    </x:xf>
    <x:xf numFmtId="0" fontId="25" fillId="5" borderId="0" xfId="0" applyNumberFormat="1" applyFont="1" applyFill="1" applyBorder="1" applyAlignment="1">
      <x:alignment horizontal="center" vertical="center" wrapText="1"/>
    </x:xf>
    <x:xf numFmtId="200" fontId="32" fillId="6" borderId="33" xfId="0" applyNumberFormat="1" applyFont="1" applyFill="1" applyBorder="1" applyAlignment="1">
      <x:alignment vertical="center" wrapText="1"/>
    </x:xf>
    <x:xf numFmtId="200" fontId="32" fillId="6" borderId="34" xfId="0" applyNumberFormat="1" applyFont="1" applyFill="1" applyBorder="1" applyAlignment="1">
      <x:alignment vertical="center" wrapText="1"/>
    </x:xf>
    <x:xf numFmtId="200" fontId="32" fillId="6" borderId="35" xfId="0" applyNumberFormat="1" applyFont="1" applyFill="1" applyBorder="1" applyAlignment="1">
      <x:alignment vertical="center" wrapText="1"/>
    </x:xf>
    <x:xf numFmtId="203" fontId="25" fillId="5" borderId="0" xfId="0" applyNumberFormat="1" applyFont="1" applyFill="1" applyBorder="1" applyAlignment="1">
      <x:alignment wrapText="1"/>
    </x:xf>
    <x:xf numFmtId="203" fontId="25" fillId="0" borderId="0" xfId="0" applyNumberFormat="1" applyFont="1" applyFill="1" applyBorder="1" applyAlignment="1">
      <x:alignment wrapText="1"/>
    </x:xf>
    <x:xf numFmtId="200" fontId="25" fillId="0" borderId="0" xfId="0" applyNumberFormat="1" applyFont="1" applyFill="1" applyBorder="1" applyAlignment="1">
      <x:alignment wrapText="1"/>
    </x:xf>
    <x:xf numFmtId="0" fontId="24" fillId="6" borderId="4" xfId="0" applyNumberFormat="1" applyFont="1" applyFill="1" applyBorder="1" applyAlignment="1">
      <x:alignment wrapText="1"/>
    </x:xf>
    <x:xf numFmtId="200" fontId="24" fillId="6" borderId="4" xfId="0" applyNumberFormat="1" applyFont="1" applyFill="1" applyBorder="1" applyAlignment="1">
      <x:alignment wrapText="1"/>
    </x:xf>
    <x:xf numFmtId="0" fontId="26" fillId="6" borderId="0" xfId="0" applyNumberFormat="1" applyFont="1" applyFill="1" applyBorder="1" applyAlignment="1">
      <x:alignment vertical="center" wrapText="1"/>
    </x:xf>
    <x:xf numFmtId="203" fontId="25" fillId="5" borderId="0" xfId="0" applyNumberFormat="1" applyFont="1" applyFill="1" applyBorder="1" applyAlignment="1">
      <x:alignment vertical="center" wrapText="1"/>
    </x:xf>
    <x:xf numFmtId="203" fontId="25" fillId="0" borderId="0" xfId="0" applyNumberFormat="1" applyFont="1" applyFill="1" applyBorder="1" applyAlignment="1">
      <x:alignment vertical="center" wrapText="1"/>
    </x:xf>
    <x:xf numFmtId="200" fontId="25" fillId="0" borderId="0" xfId="0" applyNumberFormat="1" applyFont="1" applyFill="1" applyBorder="1" applyAlignment="1">
      <x:alignment vertical="center" wrapText="1"/>
    </x:xf>
    <x:xf numFmtId="0" fontId="24" fillId="6" borderId="4" xfId="0" applyNumberFormat="1" applyFont="1" applyFill="1" applyBorder="1" applyAlignment="1">
      <x:alignment vertical="center" wrapText="1"/>
    </x:xf>
    <x:xf numFmtId="200" fontId="24" fillId="6" borderId="4" xfId="0" applyNumberFormat="1" applyFont="1" applyFill="1" applyBorder="1" applyAlignment="1">
      <x:alignment vertical="center" wrapText="1"/>
    </x:xf>
    <x:xf numFmtId="0" fontId="24" fillId="2" borderId="0" xfId="0" applyNumberFormat="1" applyFont="1" applyFill="1" applyBorder="1" applyAlignment="1">
      <x:alignment vertical="center" wrapText="1"/>
    </x:xf>
    <x:xf numFmtId="200" fontId="24" fillId="5" borderId="0" xfId="0" applyNumberFormat="1" applyFont="1" applyFill="1" applyBorder="1" applyAlignment="1">
      <x:alignment wrapText="1"/>
    </x:xf>
    <x:xf numFmtId="200" fontId="24" fillId="6" borderId="0" xfId="0" applyNumberFormat="1" applyFont="1" applyFill="1" applyBorder="1" applyAlignment="1">
      <x:alignment wrapText="1"/>
    </x:xf>
    <x:xf numFmtId="0" fontId="24" fillId="4" borderId="5" xfId="0" applyNumberFormat="1" applyFont="1" applyFill="1" applyBorder="1" applyAlignment="1">
      <x:alignment wrapText="1"/>
    </x:xf>
    <x:xf numFmtId="200" fontId="24" fillId="4" borderId="6" xfId="0" applyNumberFormat="1" applyFont="1" applyFill="1" applyBorder="1" applyAlignment="1">
      <x:alignment wrapText="1"/>
    </x:xf>
    <x:xf numFmtId="0" fontId="24" fillId="4" borderId="6" xfId="0" applyNumberFormat="1" applyFont="1" applyFill="1" applyBorder="1" applyAlignment="1">
      <x:alignment wrapText="1"/>
    </x:xf>
    <x:xf numFmtId="0" fontId="24" fillId="4" borderId="7" xfId="0" applyNumberFormat="1" applyFont="1" applyFill="1" applyBorder="1" applyAlignment="1">
      <x:alignment wrapText="1"/>
    </x:xf>
    <x:xf numFmtId="0" fontId="24" fillId="6" borderId="16" xfId="0" applyNumberFormat="1" applyFont="1" applyFill="1" applyBorder="1" applyAlignment="1">
      <x:alignment wrapText="1"/>
    </x:xf>
    <x:xf numFmtId="0" fontId="25" fillId="6" borderId="23" xfId="0" applyNumberFormat="1" applyFont="1" applyFill="1" applyBorder="1" applyAlignment="1">
      <x:alignment wrapText="1"/>
    </x:xf>
    <x:xf numFmtId="0" fontId="24" fillId="6" borderId="18" xfId="0" applyNumberFormat="1" applyFont="1" applyFill="1" applyBorder="1" applyAlignment="1">
      <x:alignment wrapText="1"/>
    </x:xf>
    <x:xf numFmtId="0" fontId="25" fillId="6" borderId="24" xfId="0" applyNumberFormat="1" applyFont="1" applyFill="1" applyBorder="1" applyAlignment="1">
      <x:alignment wrapText="1"/>
    </x:xf>
    <x:xf numFmtId="0" fontId="25" fillId="6" borderId="19" xfId="0" applyNumberFormat="1" applyFont="1" applyFill="1" applyBorder="1" applyAlignment="1">
      <x:alignment wrapText="1"/>
    </x:xf>
    <x:xf numFmtId="0" fontId="24" fillId="6" borderId="20" xfId="0" applyNumberFormat="1" applyFont="1" applyFill="1" applyBorder="1" applyAlignment="1">
      <x:alignment wrapText="1"/>
    </x:xf>
    <x:xf numFmtId="0" fontId="25" fillId="6" borderId="25" xfId="0" applyNumberFormat="1" applyFont="1" applyFill="1" applyBorder="1" applyAlignment="1">
      <x:alignment wrapText="1"/>
    </x:xf>
    <x:xf numFmtId="0" fontId="25" fillId="6" borderId="21" xfId="0" applyNumberFormat="1" applyFont="1" applyFill="1" applyBorder="1" applyAlignment="1">
      <x:alignment wrapText="1"/>
    </x:xf>
    <x:xf numFmtId="200" fontId="24" fillId="5" borderId="0" xfId="0" applyNumberFormat="1" applyFont="1" applyFill="1" applyBorder="1" applyAlignment="1">
      <x:alignment vertical="center" wrapText="1"/>
    </x:xf>
    <x:xf numFmtId="200" fontId="24" fillId="6" borderId="0" xfId="0" applyNumberFormat="1" applyFont="1" applyFill="1" applyBorder="1" applyAlignment="1">
      <x:alignment vertical="center" wrapText="1"/>
    </x:xf>
    <x:xf numFmtId="0" fontId="24" fillId="4" borderId="5" xfId="0" applyNumberFormat="1" applyFont="1" applyFill="1" applyBorder="1" applyAlignment="1">
      <x:alignment vertical="center" wrapText="1"/>
    </x:xf>
    <x:xf numFmtId="200" fontId="24" fillId="4" borderId="6" xfId="0" applyNumberFormat="1" applyFont="1" applyFill="1" applyBorder="1" applyAlignment="1">
      <x:alignment vertical="center" wrapText="1"/>
    </x:xf>
    <x:xf numFmtId="0" fontId="24" fillId="4" borderId="6" xfId="0" applyNumberFormat="1" applyFont="1" applyFill="1" applyBorder="1" applyAlignment="1">
      <x:alignment vertical="center" wrapText="1"/>
    </x:xf>
    <x:xf numFmtId="0" fontId="24" fillId="4" borderId="7" xfId="0" applyNumberFormat="1" applyFont="1" applyFill="1" applyBorder="1" applyAlignment="1">
      <x:alignment vertical="center" wrapText="1"/>
    </x:xf>
    <x:xf numFmtId="0" fontId="24" fillId="6" borderId="16" xfId="0" applyNumberFormat="1" applyFont="1" applyFill="1" applyBorder="1" applyAlignment="1">
      <x:alignment vertical="center" wrapText="1"/>
    </x:xf>
    <x:xf numFmtId="0" fontId="24" fillId="6" borderId="18" xfId="0" applyNumberFormat="1" applyFont="1" applyFill="1" applyBorder="1" applyAlignment="1">
      <x:alignment vertical="center" wrapText="1"/>
    </x:xf>
    <x:xf numFmtId="0" fontId="24" fillId="6" borderId="20" xfId="0" applyNumberFormat="1" applyFont="1" applyFill="1" applyBorder="1" applyAlignment="1">
      <x:alignment vertical="center" wrapText="1"/>
    </x:xf>
    <x:xf numFmtId="0" fontId="27" fillId="2" borderId="0" xfId="0" applyNumberFormat="1" applyFont="1" applyFill="1" applyBorder="1" applyAlignment="1">
      <x:alignment vertical="center" wrapText="1"/>
    </x:xf>
    <x:xf numFmtId="200" fontId="33" fillId="6" borderId="4" xfId="0" applyNumberFormat="1" applyFont="1" applyFill="1" applyBorder="1" applyAlignment="1">
      <x:alignment vertical="center" wrapText="1"/>
    </x:xf>
    <x:xf numFmtId="200" fontId="33" fillId="0" borderId="0" xfId="0" applyNumberFormat="1" applyFont="1" applyFill="1" applyBorder="1" applyAlignment="1">
      <x:alignment vertical="center" wrapText="1"/>
    </x:xf>
    <x:xf numFmtId="200" fontId="33" fillId="5" borderId="0" xfId="0" applyNumberFormat="1" applyFont="1" applyFill="1" applyBorder="1" applyAlignment="1">
      <x:alignment vertical="center" wrapText="1"/>
    </x:xf>
    <x:xf numFmtId="200" fontId="33" fillId="6" borderId="0" xfId="0" applyNumberFormat="1" applyFont="1" applyFill="1" applyBorder="1" applyAlignment="1">
      <x:alignment vertical="center" wrapText="1"/>
    </x:xf>
    <x:xf numFmtId="200" fontId="33" fillId="4" borderId="6" xfId="0" applyNumberFormat="1" applyFont="1" applyFill="1" applyBorder="1" applyAlignment="1">
      <x:alignment vertical="center" wrapText="1"/>
    </x:xf>
    <x:xf numFmtId="0" fontId="24" fillId="9" borderId="0" xfId="0" applyNumberFormat="1" applyFont="1" applyFill="1" applyBorder="1" applyAlignment="1">
      <x:alignment vertical="center" wrapText="1"/>
    </x:xf>
    <x:xf numFmtId="200" fontId="24" fillId="10" borderId="17" xfId="0" applyNumberFormat="1" applyFont="1" applyFill="1" applyBorder="1" applyAlignment="1">
      <x:alignment wrapText="1"/>
    </x:xf>
    <x:xf numFmtId="0" fontId="24" fillId="4" borderId="16" xfId="0" applyNumberFormat="1" applyFont="1" applyFill="1" applyBorder="1" applyAlignment="1">
      <x:alignment wrapText="1"/>
    </x:xf>
    <x:xf numFmtId="203" fontId="24" fillId="4" borderId="17" xfId="0" applyNumberFormat="1" applyFont="1" applyFill="1" applyBorder="1" applyAlignment="1">
      <x:alignment wrapText="1"/>
    </x:xf>
    <x:xf numFmtId="0" fontId="25" fillId="6" borderId="18" xfId="0" applyNumberFormat="1" applyFont="1" applyFill="1" applyBorder="1" applyAlignment="1">
      <x:alignment wrapText="1"/>
    </x:xf>
    <x:xf numFmtId="200" fontId="24" fillId="10" borderId="19" xfId="0" applyNumberFormat="1" applyFont="1" applyFill="1" applyBorder="1" applyAlignment="1">
      <x:alignment wrapText="1"/>
    </x:xf>
    <x:xf numFmtId="0" fontId="24" fillId="4" borderId="18" xfId="0" applyNumberFormat="1" applyFont="1" applyFill="1" applyBorder="1" applyAlignment="1">
      <x:alignment wrapText="1"/>
    </x:xf>
    <x:xf numFmtId="200" fontId="24" fillId="4" borderId="19" xfId="0" applyNumberFormat="1" applyFont="1" applyFill="1" applyBorder="1" applyAlignment="1">
      <x:alignment wrapText="1"/>
    </x:xf>
    <x:xf numFmtId="200" fontId="24" fillId="5" borderId="19" xfId="0" applyNumberFormat="1" applyFont="1" applyFill="1" applyBorder="1" applyAlignment="1">
      <x:alignment wrapText="1"/>
    </x:xf>
    <x:xf numFmtId="0" fontId="25" fillId="6" borderId="20" xfId="0" applyNumberFormat="1" applyFont="1" applyFill="1" applyBorder="1" applyAlignment="1">
      <x:alignment wrapText="1"/>
    </x:xf>
    <x:xf numFmtId="200" fontId="24" fillId="10" borderId="21" xfId="0" applyNumberFormat="1" applyFont="1" applyFill="1" applyBorder="1" applyAlignment="1">
      <x:alignment wrapText="1"/>
    </x:xf>
    <x:xf numFmtId="0" fontId="24" fillId="4" borderId="22" xfId="0" applyNumberFormat="1" applyFont="1" applyFill="1" applyBorder="1" applyAlignment="1">
      <x:alignment wrapText="1"/>
    </x:xf>
    <x:xf numFmtId="200" fontId="24" fillId="4" borderId="22" xfId="0" applyNumberFormat="1" applyFont="1" applyFill="1" applyBorder="1" applyAlignment="1">
      <x:alignment wrapText="1"/>
    </x:xf>
    <x:xf numFmtId="0" fontId="26" fillId="5" borderId="0" xfId="0" applyNumberFormat="1" applyFont="1" applyFill="1" applyBorder="1" applyAlignment="1">
      <x:alignment vertical="center" wrapText="1"/>
    </x:xf>
    <x:xf numFmtId="203" fontId="24" fillId="10" borderId="21" xfId="0" applyNumberFormat="1" applyFont="1" applyFill="1" applyBorder="1" applyAlignment="1">
      <x:alignment wrapText="1"/>
    </x:xf>
    <x:xf numFmtId="204" fontId="25" fillId="6" borderId="16" xfId="0" applyNumberFormat="1" applyFont="1" applyFill="1" applyBorder="1" applyAlignment="1">
      <x:alignment wrapText="1"/>
    </x:xf>
    <x:xf numFmtId="200" fontId="25" fillId="6" borderId="23" xfId="0" applyNumberFormat="1" applyFont="1" applyFill="1" applyBorder="1" applyAlignment="1">
      <x:alignment wrapText="1"/>
    </x:xf>
    <x:xf numFmtId="204" fontId="25" fillId="6" borderId="18" xfId="0" applyNumberFormat="1" applyFont="1" applyFill="1" applyBorder="1" applyAlignment="1">
      <x:alignment wrapText="1"/>
    </x:xf>
    <x:xf numFmtId="200" fontId="25" fillId="6" borderId="24" xfId="0" applyNumberFormat="1" applyFont="1" applyFill="1" applyBorder="1" applyAlignment="1">
      <x:alignment wrapText="1"/>
    </x:xf>
    <x:xf numFmtId="200" fontId="25" fillId="5" borderId="24" xfId="0" applyNumberFormat="1" applyFont="1" applyFill="1" applyBorder="1" applyAlignment="1">
      <x:alignment wrapText="1"/>
    </x:xf>
    <x:xf numFmtId="204" fontId="25" fillId="6" borderId="20" xfId="0" applyNumberFormat="1" applyFont="1" applyFill="1" applyBorder="1" applyAlignment="1">
      <x:alignment wrapText="1"/>
    </x:xf>
    <x:xf numFmtId="200" fontId="25" fillId="6" borderId="25" xfId="0" applyNumberFormat="1" applyFont="1" applyFill="1" applyBorder="1" applyAlignment="1">
      <x:alignment wrapText="1"/>
    </x:xf>
    <x:xf numFmtId="200" fontId="25" fillId="5" borderId="25" xfId="0" applyNumberFormat="1" applyFont="1" applyFill="1" applyBorder="1" applyAlignment="1">
      <x:alignment wrapText="1"/>
    </x:xf>
    <x:xf numFmtId="203" fontId="25" fillId="5" borderId="17" xfId="0" applyNumberFormat="1" applyFont="1" applyFill="1" applyBorder="1" applyAlignment="1">
      <x:alignment wrapText="1"/>
    </x:xf>
    <x:xf numFmtId="200" fontId="24" fillId="10" borderId="17" xfId="0" applyNumberFormat="1" applyFont="1" applyFill="1" applyBorder="1" applyAlignment="1">
      <x:alignment vertical="center" wrapText="1"/>
    </x:xf>
    <x:xf numFmtId="0" fontId="24" fillId="4" borderId="16" xfId="0" applyNumberFormat="1" applyFont="1" applyFill="1" applyBorder="1" applyAlignment="1">
      <x:alignment vertical="center" wrapText="1"/>
    </x:xf>
    <x:xf numFmtId="203" fontId="24" fillId="4" borderId="17" xfId="0" applyNumberFormat="1" applyFont="1" applyFill="1" applyBorder="1" applyAlignment="1">
      <x:alignment vertical="center" wrapText="1"/>
    </x:xf>
    <x:xf numFmtId="0" fontId="25" fillId="6" borderId="18" xfId="0" applyNumberFormat="1" applyFont="1" applyFill="1" applyBorder="1" applyAlignment="1">
      <x:alignment vertical="center" wrapText="1"/>
    </x:xf>
    <x:xf numFmtId="200" fontId="24" fillId="10" borderId="19" xfId="0" applyNumberFormat="1" applyFont="1" applyFill="1" applyBorder="1" applyAlignment="1">
      <x:alignment vertical="center" wrapText="1"/>
    </x:xf>
    <x:xf numFmtId="0" fontId="24" fillId="4" borderId="18" xfId="0" applyNumberFormat="1" applyFont="1" applyFill="1" applyBorder="1" applyAlignment="1">
      <x:alignment vertical="center" wrapText="1"/>
    </x:xf>
    <x:xf numFmtId="200" fontId="24" fillId="4" borderId="19" xfId="0" applyNumberFormat="1" applyFont="1" applyFill="1" applyBorder="1" applyAlignment="1">
      <x:alignment vertical="center" wrapText="1"/>
    </x:xf>
    <x:xf numFmtId="200" fontId="24" fillId="5" borderId="19" xfId="0" applyNumberFormat="1" applyFont="1" applyFill="1" applyBorder="1" applyAlignment="1">
      <x:alignment vertical="center" wrapText="1"/>
    </x:xf>
    <x:xf numFmtId="0" fontId="25" fillId="6" borderId="20" xfId="0" applyNumberFormat="1" applyFont="1" applyFill="1" applyBorder="1" applyAlignment="1">
      <x:alignment vertical="center" wrapText="1"/>
    </x:xf>
    <x:xf numFmtId="200" fontId="24" fillId="10" borderId="21" xfId="0" applyNumberFormat="1" applyFont="1" applyFill="1" applyBorder="1" applyAlignment="1">
      <x:alignment vertical="center" wrapText="1"/>
    </x:xf>
    <x:xf numFmtId="0" fontId="24" fillId="4" borderId="22" xfId="0" applyNumberFormat="1" applyFont="1" applyFill="1" applyBorder="1" applyAlignment="1">
      <x:alignment vertical="center" wrapText="1"/>
    </x:xf>
    <x:xf numFmtId="200" fontId="24" fillId="4" borderId="22" xfId="0" applyNumberFormat="1" applyFont="1" applyFill="1" applyBorder="1" applyAlignment="1">
      <x:alignment vertical="center" wrapText="1"/>
    </x:xf>
    <x:xf numFmtId="203" fontId="24" fillId="10" borderId="21" xfId="0" applyNumberFormat="1" applyFont="1" applyFill="1" applyBorder="1" applyAlignment="1">
      <x:alignment vertical="center" wrapText="1"/>
    </x:xf>
    <x:xf numFmtId="204" fontId="25" fillId="6" borderId="16" xfId="0" applyNumberFormat="1" applyFont="1" applyFill="1" applyBorder="1" applyAlignment="1">
      <x:alignment vertical="center" wrapText="1"/>
    </x:xf>
    <x:xf numFmtId="200" fontId="25" fillId="6" borderId="23" xfId="0" applyNumberFormat="1" applyFont="1" applyFill="1" applyBorder="1" applyAlignment="1">
      <x:alignment vertical="center" wrapText="1"/>
    </x:xf>
    <x:xf numFmtId="204" fontId="25" fillId="6" borderId="18" xfId="0" applyNumberFormat="1" applyFont="1" applyFill="1" applyBorder="1" applyAlignment="1">
      <x:alignment vertical="center" wrapText="1"/>
    </x:xf>
    <x:xf numFmtId="200" fontId="25" fillId="6" borderId="24" xfId="0" applyNumberFormat="1" applyFont="1" applyFill="1" applyBorder="1" applyAlignment="1">
      <x:alignment vertical="center" wrapText="1"/>
    </x:xf>
    <x:xf numFmtId="200" fontId="25" fillId="5" borderId="24" xfId="0" applyNumberFormat="1" applyFont="1" applyFill="1" applyBorder="1" applyAlignment="1">
      <x:alignment vertical="center" wrapText="1"/>
    </x:xf>
    <x:xf numFmtId="204" fontId="25" fillId="6" borderId="20" xfId="0" applyNumberFormat="1" applyFont="1" applyFill="1" applyBorder="1" applyAlignment="1">
      <x:alignment vertical="center" wrapText="1"/>
    </x:xf>
    <x:xf numFmtId="200" fontId="25" fillId="6" borderId="25" xfId="0" applyNumberFormat="1" applyFont="1" applyFill="1" applyBorder="1" applyAlignment="1">
      <x:alignment vertical="center" wrapText="1"/>
    </x:xf>
    <x:xf numFmtId="200" fontId="25" fillId="5" borderId="25" xfId="0" applyNumberFormat="1" applyFont="1" applyFill="1" applyBorder="1" applyAlignment="1">
      <x:alignment vertical="center" wrapText="1"/>
    </x:xf>
    <x:xf numFmtId="203" fontId="25" fillId="5" borderId="17" xfId="0" applyNumberFormat="1" applyFont="1" applyFill="1" applyBorder="1" applyAlignment="1">
      <x:alignment vertical="center" wrapText="1"/>
    </x:xf>
    <x:xf numFmtId="0" fontId="27" fillId="9" borderId="0" xfId="0" applyNumberFormat="1" applyFont="1" applyFill="1" applyBorder="1" applyAlignment="1">
      <x:alignment vertical="center" wrapText="1"/>
    </x:xf>
    <x:xf numFmtId="200" fontId="32" fillId="10" borderId="17" xfId="0" applyNumberFormat="1" applyFont="1" applyFill="1" applyBorder="1" applyAlignment="1">
      <x:alignment vertical="center" wrapText="1"/>
    </x:xf>
    <x:xf numFmtId="200" fontId="32" fillId="10" borderId="19" xfId="0" applyNumberFormat="1" applyFont="1" applyFill="1" applyBorder="1" applyAlignment="1">
      <x:alignment vertical="center" wrapText="1"/>
    </x:xf>
    <x:xf numFmtId="200" fontId="32" fillId="4" borderId="19" xfId="0" applyNumberFormat="1" applyFont="1" applyFill="1" applyBorder="1" applyAlignment="1">
      <x:alignment vertical="center" wrapText="1"/>
    </x:xf>
    <x:xf numFmtId="200" fontId="32" fillId="5" borderId="19" xfId="0" applyNumberFormat="1" applyFont="1" applyFill="1" applyBorder="1" applyAlignment="1">
      <x:alignment vertical="center" wrapText="1"/>
    </x:xf>
    <x:xf numFmtId="200" fontId="32" fillId="10" borderId="21" xfId="0" applyNumberFormat="1" applyFont="1" applyFill="1" applyBorder="1" applyAlignment="1">
      <x:alignment vertical="center" wrapText="1"/>
    </x:xf>
    <x:xf numFmtId="203" fontId="32" fillId="4" borderId="17" xfId="0" applyNumberFormat="1" applyFont="1" applyFill="1" applyBorder="1" applyAlignment="1">
      <x:alignment vertical="center" wrapText="1"/>
    </x:xf>
    <x:xf numFmtId="0" fontId="24" fillId="8" borderId="0" xfId="0" applyNumberFormat="1" applyFont="1" applyFill="1" applyBorder="1" applyAlignment="1">
      <x:alignment vertical="center" wrapText="1"/>
    </x:xf>
    <x:xf numFmtId="0" fontId="27" fillId="8" borderId="0" xfId="0" applyNumberFormat="1" applyFont="1" applyFill="1" applyBorder="1" applyAlignment="1">
      <x:alignment vertical="center" wrapText="1"/>
    </x:xf>
    <x:xf numFmtId="0" fontId="24" fillId="8" borderId="0" xfId="0" applyNumberFormat="1" applyFont="1" applyFill="1" applyBorder="1" applyAlignment="1">
      <x:alignment vertical="center"/>
    </x:xf>
    <x:xf numFmtId="0" fontId="25" fillId="0" borderId="0" xfId="0" applyNumberFormat="1" applyFont="1" applyFill="1" applyBorder="1"/>
    <x:xf numFmtId="203" fontId="25" fillId="6" borderId="0" xfId="0" applyNumberFormat="1" applyFont="1" applyFill="1" applyBorder="1" applyAlignment="1">
      <x:alignment wrapText="1"/>
    </x:xf>
    <x:xf numFmtId="0" fontId="25" fillId="0" borderId="0" xfId="0" applyNumberFormat="1" applyFont="1" applyFill="1" applyBorder="1" applyAlignment="1">
      <x:alignment vertical="center"/>
    </x:xf>
    <x:xf numFmtId="203" fontId="25" fillId="6" borderId="0" xfId="0" applyNumberFormat="1" applyFont="1" applyFill="1" applyBorder="1" applyAlignment="1">
      <x:alignment vertical="center" wrapText="1"/>
    </x:xf>
    <x:xf numFmtId="0" fontId="27" fillId="8" borderId="0" xfId="0" applyNumberFormat="1" applyFont="1" applyFill="1" applyBorder="1" applyAlignment="1">
      <x:alignment vertical="center"/>
    </x:xf>
    <x:xf numFmtId="201" fontId="25" fillId="5" borderId="0" xfId="0" applyNumberFormat="1" applyFont="1" applyFill="1" applyBorder="1" applyAlignment="1">
      <x:alignment wrapText="1"/>
    </x:xf>
    <x:xf numFmtId="202" fontId="25" fillId="0" borderId="0" xfId="0" applyNumberFormat="1" applyFont="1" applyFill="1" applyBorder="1" applyAlignment="1">
      <x:alignment wrapText="1"/>
    </x:xf>
    <x:xf numFmtId="201" fontId="25" fillId="5" borderId="0" xfId="0" applyNumberFormat="1" applyFont="1" applyFill="1" applyBorder="1" applyAlignment="1">
      <x:alignment vertical="center" wrapText="1"/>
    </x:xf>
    <x:xf numFmtId="202" fontId="25" fillId="0" borderId="0" xfId="0" applyNumberFormat="1" applyFont="1" applyFill="1" applyBorder="1" applyAlignment="1">
      <x:alignment vertical="center" wrapText="1"/>
    </x:xf>
    <x:xf numFmtId="0" fontId="24" fillId="7" borderId="0" xfId="0" applyNumberFormat="1" applyFont="1" applyFill="1" applyBorder="1" applyAlignment="1">
      <x:alignment vertical="center"/>
    </x:xf>
    <x:xf numFmtId="0" fontId="24" fillId="4" borderId="1" xfId="0" applyNumberFormat="1" applyFont="1" applyFill="1" applyBorder="1"/>
    <x:xf numFmtId="0" fontId="24" fillId="4" borderId="2" xfId="0" applyNumberFormat="1" applyFont="1" applyFill="1" applyBorder="1"/>
    <x:xf numFmtId="0" fontId="24" fillId="4" borderId="3" xfId="0" applyNumberFormat="1" applyFont="1" applyFill="1" applyBorder="1"/>
    <x:xf numFmtId="0" fontId="24" fillId="4" borderId="1" xfId="0" applyNumberFormat="1" applyFont="1" applyFill="1" applyBorder="1" applyAlignment="1">
      <x:alignment vertical="center"/>
    </x:xf>
    <x:xf numFmtId="0" fontId="24" fillId="4" borderId="2" xfId="0" applyNumberFormat="1" applyFont="1" applyFill="1" applyBorder="1" applyAlignment="1">
      <x:alignment vertical="center"/>
    </x:xf>
    <x:xf numFmtId="0" fontId="24" fillId="4" borderId="3" xfId="0" applyNumberFormat="1" applyFont="1" applyFill="1" applyBorder="1" applyAlignment="1">
      <x:alignment vertical="center"/>
    </x:xf>
    <x:xf numFmtId="0" fontId="27" fillId="7" borderId="0" xfId="0" applyNumberFormat="1" applyFont="1" applyFill="1" applyBorder="1" applyAlignment="1">
      <x:alignment vertical="center"/>
    </x:xf>
    <x:xf numFmtId="203" fontId="25" fillId="5" borderId="0" xfId="0" applyNumberFormat="1" applyFont="1" applyFill="1" applyBorder="1"/>
    <x:xf numFmtId="203" fontId="25" fillId="0" borderId="0" xfId="0" applyNumberFormat="1" applyFont="1" applyFill="1" applyBorder="1"/>
    <x:xf numFmtId="200" fontId="25" fillId="0" borderId="0" xfId="0" applyNumberFormat="1" applyFont="1" applyFill="1" applyBorder="1"/>
    <x:xf numFmtId="0" fontId="24" fillId="6" borderId="4" xfId="0" applyNumberFormat="1" applyFont="1" applyFill="1" applyBorder="1"/>
    <x:xf numFmtId="200" fontId="24" fillId="6" borderId="4" xfId="0" applyNumberFormat="1" applyFont="1" applyFill="1" applyBorder="1"/>
    <x:xf numFmtId="0" fontId="24" fillId="5" borderId="5" xfId="0" applyNumberFormat="1" applyFont="1" applyFill="1" applyBorder="1"/>
    <x:xf numFmtId="0" fontId="24" fillId="5" borderId="6" xfId="0" applyNumberFormat="1" applyFont="1" applyFill="1" applyBorder="1"/>
    <x:xf numFmtId="200" fontId="24" fillId="5" borderId="6" xfId="0" applyNumberFormat="1" applyFont="1" applyFill="1" applyBorder="1"/>
    <x:xf numFmtId="0" fontId="24" fillId="5" borderId="7" xfId="0" applyNumberFormat="1" applyFont="1" applyFill="1" applyBorder="1"/>
    <x:xf numFmtId="203" fontId="25" fillId="5" borderId="0" xfId="0" applyNumberFormat="1" applyFont="1" applyFill="1" applyBorder="1" applyAlignment="1">
      <x:alignment vertical="center"/>
    </x:xf>
    <x:xf numFmtId="203" fontId="25" fillId="0" borderId="0" xfId="0" applyNumberFormat="1" applyFont="1" applyFill="1" applyBorder="1" applyAlignment="1">
      <x:alignment vertical="center"/>
    </x:xf>
    <x:xf numFmtId="200" fontId="25" fillId="0" borderId="0" xfId="0" applyNumberFormat="1" applyFont="1" applyFill="1" applyBorder="1" applyAlignment="1">
      <x:alignment vertical="center"/>
    </x:xf>
    <x:xf numFmtId="0" fontId="24" fillId="6" borderId="4" xfId="0" applyNumberFormat="1" applyFont="1" applyFill="1" applyBorder="1" applyAlignment="1">
      <x:alignment vertical="center"/>
    </x:xf>
    <x:xf numFmtId="200" fontId="24" fillId="6" borderId="4" xfId="0" applyNumberFormat="1" applyFont="1" applyFill="1" applyBorder="1" applyAlignment="1">
      <x:alignment vertical="center"/>
    </x:xf>
    <x:xf numFmtId="0" fontId="24" fillId="5" borderId="5" xfId="0" applyNumberFormat="1" applyFont="1" applyFill="1" applyBorder="1" applyAlignment="1">
      <x:alignment vertical="center"/>
    </x:xf>
    <x:xf numFmtId="0" fontId="24" fillId="5" borderId="6" xfId="0" applyNumberFormat="1" applyFont="1" applyFill="1" applyBorder="1" applyAlignment="1">
      <x:alignment vertical="center"/>
    </x:xf>
    <x:xf numFmtId="200" fontId="24" fillId="5" borderId="6" xfId="0" applyNumberFormat="1" applyFont="1" applyFill="1" applyBorder="1" applyAlignment="1">
      <x:alignment vertical="center"/>
    </x:xf>
    <x:xf numFmtId="0" fontId="24" fillId="5" borderId="7" xfId="0" applyNumberFormat="1" applyFont="1" applyFill="1" applyBorder="1" applyAlignment="1">
      <x:alignment vertical="center"/>
    </x:xf>
    <x:xf numFmtId="0" fontId="24" fillId="3" borderId="0" xfId="0" applyNumberFormat="1" applyFont="1" applyFill="1" applyBorder="1" applyAlignment="1">
      <x:alignment vertical="center"/>
    </x:xf>
    <x:xf numFmtId="0" fontId="24" fillId="6" borderId="8" xfId="0" applyNumberFormat="1" applyFont="1" applyFill="1" applyBorder="1"/>
    <x:xf numFmtId="0" fontId="24" fillId="6" borderId="9" xfId="0" applyNumberFormat="1" applyFont="1" applyFill="1" applyBorder="1"/>
    <x:xf numFmtId="200" fontId="24" fillId="6" borderId="10" xfId="0" applyNumberFormat="1" applyFont="1" applyFill="1" applyBorder="1"/>
    <x:xf numFmtId="0" fontId="24" fillId="6" borderId="11" xfId="0" applyNumberFormat="1" applyFont="1" applyFill="1" applyBorder="1"/>
    <x:xf numFmtId="0" fontId="24" fillId="6" borderId="0" xfId="0" applyNumberFormat="1" applyFont="1" applyFill="1" applyBorder="1"/>
    <x:xf numFmtId="200" fontId="24" fillId="6" borderId="12" xfId="0" applyNumberFormat="1" applyFont="1" applyFill="1" applyBorder="1"/>
    <x:xf numFmtId="0" fontId="24" fillId="6" borderId="13" xfId="0" applyNumberFormat="1" applyFont="1" applyFill="1" applyBorder="1"/>
    <x:xf numFmtId="0" fontId="24" fillId="6" borderId="14" xfId="0" applyNumberFormat="1" applyFont="1" applyFill="1" applyBorder="1"/>
    <x:xf numFmtId="200" fontId="24" fillId="6" borderId="15" xfId="0" applyNumberFormat="1" applyFont="1" applyFill="1" applyBorder="1"/>
    <x:xf numFmtId="0" fontId="24" fillId="4" borderId="5" xfId="0" applyNumberFormat="1" applyFont="1" applyFill="1" applyBorder="1"/>
    <x:xf numFmtId="0" fontId="24" fillId="4" borderId="6" xfId="0" applyNumberFormat="1" applyFont="1" applyFill="1" applyBorder="1"/>
    <x:xf numFmtId="200" fontId="24" fillId="4" borderId="7" xfId="0" applyNumberFormat="1" applyFont="1" applyFill="1" applyBorder="1"/>
    <x:xf numFmtId="0" fontId="24" fillId="6" borderId="8" xfId="0" applyNumberFormat="1" applyFont="1" applyFill="1" applyBorder="1" applyAlignment="1">
      <x:alignment vertical="center"/>
    </x:xf>
    <x:xf numFmtId="0" fontId="24" fillId="6" borderId="9" xfId="0" applyNumberFormat="1" applyFont="1" applyFill="1" applyBorder="1" applyAlignment="1">
      <x:alignment vertical="center"/>
    </x:xf>
    <x:xf numFmtId="200" fontId="24" fillId="6" borderId="10" xfId="0" applyNumberFormat="1" applyFont="1" applyFill="1" applyBorder="1" applyAlignment="1">
      <x:alignment vertical="center"/>
    </x:xf>
    <x:xf numFmtId="0" fontId="24" fillId="6" borderId="11" xfId="0" applyNumberFormat="1" applyFont="1" applyFill="1" applyBorder="1" applyAlignment="1">
      <x:alignment vertical="center"/>
    </x:xf>
    <x:xf numFmtId="0" fontId="24" fillId="6" borderId="0" xfId="0" applyNumberFormat="1" applyFont="1" applyFill="1" applyBorder="1" applyAlignment="1">
      <x:alignment vertical="center"/>
    </x:xf>
    <x:xf numFmtId="200" fontId="24" fillId="6" borderId="12" xfId="0" applyNumberFormat="1" applyFont="1" applyFill="1" applyBorder="1" applyAlignment="1">
      <x:alignment vertical="center"/>
    </x:xf>
    <x:xf numFmtId="0" fontId="24" fillId="6" borderId="13" xfId="0" applyNumberFormat="1" applyFont="1" applyFill="1" applyBorder="1" applyAlignment="1">
      <x:alignment vertical="center"/>
    </x:xf>
    <x:xf numFmtId="0" fontId="24" fillId="6" borderId="14" xfId="0" applyNumberFormat="1" applyFont="1" applyFill="1" applyBorder="1" applyAlignment="1">
      <x:alignment vertical="center"/>
    </x:xf>
    <x:xf numFmtId="200" fontId="24" fillId="6" borderId="15" xfId="0" applyNumberFormat="1" applyFont="1" applyFill="1" applyBorder="1" applyAlignment="1">
      <x:alignment vertical="center"/>
    </x:xf>
    <x:xf numFmtId="0" fontId="24" fillId="4" borderId="5" xfId="0" applyNumberFormat="1" applyFont="1" applyFill="1" applyBorder="1" applyAlignment="1">
      <x:alignment vertical="center"/>
    </x:xf>
    <x:xf numFmtId="0" fontId="24" fillId="4" borderId="6" xfId="0" applyNumberFormat="1" applyFont="1" applyFill="1" applyBorder="1" applyAlignment="1">
      <x:alignment vertical="center"/>
    </x:xf>
    <x:xf numFmtId="200" fontId="24" fillId="4" borderId="7" xfId="0" applyNumberFormat="1" applyFont="1" applyFill="1" applyBorder="1" applyAlignment="1">
      <x:alignment vertical="center"/>
    </x:xf>
    <x:xf numFmtId="0" fontId="24" fillId="4" borderId="26" xfId="0" applyNumberFormat="1" applyFont="1" applyFill="1" applyBorder="1" applyAlignment="1">
      <x:alignment wrapText="1"/>
    </x:xf>
    <x:xf numFmtId="0" fontId="24" fillId="4" borderId="27" xfId="0" applyNumberFormat="1" applyFont="1" applyFill="1" applyBorder="1" applyAlignment="1">
      <x:alignment wrapText="1"/>
    </x:xf>
    <x:xf numFmtId="0" fontId="24" fillId="4" borderId="28" xfId="0" applyNumberFormat="1" applyFont="1" applyFill="1" applyBorder="1" applyAlignment="1">
      <x:alignment wrapText="1"/>
    </x:xf>
    <x:xf numFmtId="0" fontId="25" fillId="5" borderId="29" xfId="0" applyNumberFormat="1" applyFont="1" applyFill="1" applyBorder="1" applyAlignment="1">
      <x:alignment wrapText="1"/>
    </x:xf>
    <x:xf numFmtId="0" fontId="25" fillId="5" borderId="24" xfId="0" applyNumberFormat="1" applyFont="1" applyFill="1" applyBorder="1" applyAlignment="1">
      <x:alignment wrapText="1"/>
    </x:xf>
    <x:xf numFmtId="0" fontId="25" fillId="5" borderId="19" xfId="0" applyNumberFormat="1" applyFont="1" applyFill="1" applyBorder="1" applyAlignment="1">
      <x:alignment wrapText="1"/>
    </x:xf>
    <x:xf numFmtId="0" fontId="25" fillId="0" borderId="24" xfId="0" applyNumberFormat="1" applyFont="1" applyFill="1" applyBorder="1" applyAlignment="1">
      <x:alignment wrapText="1"/>
    </x:xf>
    <x:xf numFmtId="0" fontId="25" fillId="0" borderId="19" xfId="0" applyNumberFormat="1" applyFont="1" applyFill="1" applyBorder="1" applyAlignment="1">
      <x:alignment wrapText="1"/>
    </x:xf>
    <x:xf numFmtId="0" fontId="25" fillId="5" borderId="30" xfId="0" applyNumberFormat="1" applyFont="1" applyFill="1" applyBorder="1" applyAlignment="1">
      <x:alignment wrapText="1"/>
    </x:xf>
    <x:xf numFmtId="0" fontId="25" fillId="5" borderId="31" xfId="0" applyNumberFormat="1" applyFont="1" applyFill="1" applyBorder="1" applyAlignment="1">
      <x:alignment wrapText="1"/>
    </x:xf>
    <x:xf numFmtId="0" fontId="25" fillId="0" borderId="31" xfId="0" applyNumberFormat="1" applyFont="1" applyFill="1" applyBorder="1" applyAlignment="1">
      <x:alignment wrapText="1"/>
    </x:xf>
    <x:xf numFmtId="0" fontId="25" fillId="0" borderId="32" xfId="0" applyNumberFormat="1" applyFont="1" applyFill="1" applyBorder="1" applyAlignment="1">
      <x:alignment wrapText="1"/>
    </x:xf>
    <x:xf numFmtId="0" fontId="24" fillId="4" borderId="26" xfId="0" applyNumberFormat="1" applyFont="1" applyFill="1" applyBorder="1" applyAlignment="1">
      <x:alignment vertical="center" wrapText="1"/>
    </x:xf>
    <x:xf numFmtId="0" fontId="24" fillId="4" borderId="27" xfId="0" applyNumberFormat="1" applyFont="1" applyFill="1" applyBorder="1" applyAlignment="1">
      <x:alignment vertical="center" wrapText="1"/>
    </x:xf>
    <x:xf numFmtId="0" fontId="24" fillId="4" borderId="28" xfId="0" applyNumberFormat="1" applyFont="1" applyFill="1" applyBorder="1" applyAlignment="1">
      <x:alignment vertical="center" wrapText="1"/>
    </x:xf>
    <x:xf numFmtId="0" fontId="25" fillId="5" borderId="29" xfId="0" applyNumberFormat="1" applyFont="1" applyFill="1" applyBorder="1" applyAlignment="1">
      <x:alignment vertical="center" wrapText="1"/>
    </x:xf>
    <x:xf numFmtId="0" fontId="25" fillId="5" borderId="24" xfId="0" applyNumberFormat="1" applyFont="1" applyFill="1" applyBorder="1" applyAlignment="1">
      <x:alignment vertical="center" wrapText="1"/>
    </x:xf>
    <x:xf numFmtId="0" fontId="25" fillId="5" borderId="19" xfId="0" applyNumberFormat="1" applyFont="1" applyFill="1" applyBorder="1" applyAlignment="1">
      <x:alignment vertical="center" wrapText="1"/>
    </x:xf>
    <x:xf numFmtId="0" fontId="25" fillId="0" borderId="24" xfId="0" applyNumberFormat="1" applyFont="1" applyFill="1" applyBorder="1" applyAlignment="1">
      <x:alignment vertical="center" wrapText="1"/>
    </x:xf>
    <x:xf numFmtId="0" fontId="25" fillId="0" borderId="19" xfId="0" applyNumberFormat="1" applyFont="1" applyFill="1" applyBorder="1" applyAlignment="1">
      <x:alignment vertical="center" wrapText="1"/>
    </x:xf>
    <x:xf numFmtId="0" fontId="25" fillId="5" borderId="30" xfId="0" applyNumberFormat="1" applyFont="1" applyFill="1" applyBorder="1" applyAlignment="1">
      <x:alignment vertical="center" wrapText="1"/>
    </x:xf>
    <x:xf numFmtId="0" fontId="25" fillId="5" borderId="31" xfId="0" applyNumberFormat="1" applyFont="1" applyFill="1" applyBorder="1" applyAlignment="1">
      <x:alignment vertical="center" wrapText="1"/>
    </x:xf>
    <x:xf numFmtId="0" fontId="25" fillId="0" borderId="31" xfId="0" applyNumberFormat="1" applyFont="1" applyFill="1" applyBorder="1" applyAlignment="1">
      <x:alignment vertical="center" wrapText="1"/>
    </x:xf>
    <x:xf numFmtId="0" fontId="25" fillId="0" borderId="3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4">
    <x:dxf>
      <x:font>
        <x:b/>
        <x:color rgb="FFB91C1C"/>
      </x:font>
      <x:fill>
        <x:patternFill patternType="solid">
          <x:bgColor rgb="FFFDE9E7"/>
        </x:patternFill>
      </x:fill>
    </x:dxf>
    <x:dxf>
      <x:font>
        <x:b/>
        <x:color rgb="FFB91C1C"/>
      </x:font>
      <x:fill>
        <x:patternFill patternType="solid">
          <x:bgColor rgb="FFFDE9E7"/>
        </x:patternFill>
      </x:fill>
    </x:dxf>
    <x:dxf>
      <x:font>
        <x:color rgb="FF167C3B"/>
      </x:font>
      <x:fill>
        <x:patternFill patternType="solid">
          <x:bgColor rgb="FFDFF3EF"/>
        </x:patternFill>
      </x:fill>
    </x:dxf>
    <x:dxf>
      <x:font>
        <x:color rgb="FFB91C1C"/>
      </x:font>
      <x:fill>
        <x:patternFill patternType="solid">
          <x:bgColor rgb="FFFDE9E7"/>
        </x:patternFill>
      </x:fill>
    </x:dxf>
    <x:dxf>
      <x:font>
        <x:b/>
        <x:color rgb="FFB91C1C"/>
      </x:font>
      <x:fill>
        <x:patternFill patternType="solid">
          <x:bgColor rgb="FFFDE9E7"/>
        </x:patternFill>
      </x:fill>
    </x:dxf>
    <x:dxf>
      <x:font>
        <x:b/>
        <x:color rgb="FFB91C1C"/>
      </x:font>
      <x:fill>
        <x:patternFill patternType="solid">
          <x:bgColor rgb="FFFDE9E7"/>
        </x:patternFill>
      </x:fill>
    </x:dxf>
    <x:dxf>
      <x:font>
        <x:b/>
        <x:color rgb="FFB91C1C"/>
      </x:font>
      <x:fill>
        <x:patternFill patternType="solid">
          <x:bgColor rgb="FFFDE9E7"/>
        </x:patternFill>
      </x:fill>
    </x:dxf>
    <x:dxf>
      <x:font>
        <x:b/>
        <x:color rgb="FFB91C1C"/>
      </x:font>
      <x:fill>
        <x:patternFill patternType="solid">
          <x:bgColor rgb="FFFDE9E7"/>
        </x:patternFill>
      </x:fill>
    </x:dxf>
    <x:dxf>
      <x:font>
        <x:b/>
        <x:color rgb="FFB91C1C"/>
      </x:font>
      <x:fill>
        <x:patternFill patternType="solid">
          <x:bgColor rgb="FFFDE9E7"/>
        </x:patternFill>
      </x:fill>
    </x:dxf>
    <x:dxf>
      <x:font>
        <x:b/>
        <x:color rgb="FFB91C1C"/>
      </x:font>
      <x:fill>
        <x:patternFill patternType="solid">
          <x:bgColor rgb="FFFDE9E7"/>
        </x:patternFill>
      </x:fill>
    </x:dxf>
    <x:dxf>
      <x:font>
        <x:b/>
        <x:color rgb="FFB91C1C"/>
      </x:font>
      <x:fill>
        <x:patternFill patternType="solid">
          <x:bgColor rgb="FFFDE9E7"/>
        </x:patternFill>
      </x:fill>
    </x:dxf>
    <x:dxf>
      <x:font>
        <x:color rgb="FF475569"/>
      </x:font>
      <x:fill>
        <x:patternFill patternType="solid">
          <x:bgColor rgb="FFE8EEF5"/>
        </x:patternFill>
      </x:fill>
    </x:dxf>
    <x:dxf>
      <x:font>
        <x:b/>
        <x:color rgb="FF167C3B"/>
      </x:font>
      <x:fill>
        <x:patternFill patternType="solid">
          <x:bgColor rgb="FFDFF3EF"/>
        </x:patternFill>
      </x:fill>
    </x:dxf>
    <x:dxf>
      <x:font>
        <x:b/>
        <x:color rgb="FF167C3B"/>
      </x:font>
      <x:fill>
        <x:patternFill patternType="solid">
          <x:bgColor rgb="FFDFF3EF"/>
        </x:patternFill>
      </x:fill>
    </x:dxf>
    <x:dxf>
      <x:font>
        <x:b/>
        <x:color rgb="FF7C5E10"/>
      </x:font>
      <x:fill>
        <x:patternFill patternType="solid">
          <x:bgColor rgb="FFFFF2CC"/>
        </x:patternFill>
      </x:fill>
    </x:dxf>
    <x:dxf>
      <x:font>
        <x:b/>
        <x:color rgb="FFB91C1C"/>
      </x:font>
      <x:fill>
        <x:patternFill patternType="solid">
          <x:bgColor rgb="FFFDE9E7"/>
        </x:patternFill>
      </x:fill>
    </x:dxf>
    <x:dxf>
      <x:font>
        <x:b/>
        <x:color rgb="FFB91C1C"/>
      </x:font>
      <x:fill>
        <x:patternFill patternType="solid">
          <x:bgColor rgb="FFFDE9E7"/>
        </x:patternFill>
      </x:fill>
    </x:dxf>
    <x:dxf>
      <x:font>
        <x:b/>
        <x:color rgb="FFB91C1C"/>
      </x:font>
      <x:fill>
        <x:patternFill patternType="solid">
          <x:bgColor rgb="FFFDE9E7"/>
        </x:patternFill>
      </x:fill>
    </x:dxf>
    <x:dxf>
      <x:font>
        <x:b/>
        <x:color rgb="FF167C3B"/>
      </x:font>
      <x:fill>
        <x:patternFill patternType="solid">
          <x:bgColor rgb="FFDFF3EF"/>
        </x:patternFill>
      </x:fill>
    </x:dxf>
    <x:dxf>
      <x:font>
        <x:b/>
        <x:color rgb="FFB91C1C"/>
      </x:font>
      <x:fill>
        <x:patternFill patternType="solid">
          <x:bgColor rgb="FFFDE9E7"/>
        </x:patternFill>
      </x:fill>
    </x:dxf>
    <x:dxf>
      <x:font>
        <x:b/>
        <x:color rgb="FFB91C1C"/>
      </x:font>
      <x:fill>
        <x:patternFill patternType="solid">
          <x:bgColor rgb="FFFDE9E7"/>
        </x:patternFill>
      </x:fill>
    </x:dxf>
    <x:dxf>
      <x:font>
        <x:b/>
        <x:color rgb="FF7C5E10"/>
      </x:font>
      <x:fill>
        <x:patternFill patternType="solid">
          <x:bgColor rgb="FFFFF2CC"/>
        </x:patternFill>
      </x:fill>
    </x:dxf>
    <x:dxf>
      <x:font>
        <x:b/>
        <x:color rgb="FF7C5E10"/>
      </x:font>
      <x:fill>
        <x:patternFill patternType="solid">
          <x:bgColor rgb="FFFFF2CC"/>
        </x:patternFill>
      </x:fill>
    </x:dxf>
    <x:dxf>
      <x:font>
        <x:b/>
        <x:color rgb="FFB91C1C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7d15e85da14c7b" /><Relationship Type="http://schemas.openxmlformats.org/officeDocument/2006/relationships/theme" Target="/xl/theme/theme1.xml" Id="Raf52f0e5c539406a" /><Relationship Type="http://schemas.openxmlformats.org/officeDocument/2006/relationships/sharedStrings" Target="/xl/sharedStrings.xml" Id="R3aa3fd77ef04477f" /><Relationship Type="http://schemas.openxmlformats.org/officeDocument/2006/relationships/worksheet" Target="/xl/worksheets/sheet1.xml" Id="R6f6fde561c3f491f" /><Relationship Type="http://schemas.openxmlformats.org/officeDocument/2006/relationships/worksheet" Target="/xl/worksheets/sheet2.xml" Id="R1a67045b52a24eb8" /><Relationship Type="http://schemas.openxmlformats.org/officeDocument/2006/relationships/worksheet" Target="/xl/worksheets/sheet3.xml" Id="R9c4c2cf399b94c60" /><Relationship Type="http://schemas.openxmlformats.org/officeDocument/2006/relationships/worksheet" Target="/xl/worksheets/sheet4.xml" Id="R2d08efb0edda43fb" /><Relationship Type="http://schemas.openxmlformats.org/officeDocument/2006/relationships/worksheet" Target="/xl/worksheets/sheet5.xml" Id="Rd3ddf2c687514154" /><Relationship Type="http://schemas.openxmlformats.org/officeDocument/2006/relationships/worksheet" Target="/xl/worksheets/sheet6.xml" Id="R8566afad8e744fab" /><Relationship Type="http://schemas.openxmlformats.org/officeDocument/2006/relationships/worksheet" Target="/xl/worksheets/sheet7.xml" Id="R85f4c16fec7b4abc" /><Relationship Type="http://schemas.openxmlformats.org/officeDocument/2006/relationships/worksheet" Target="/xl/worksheets/sheet8.xml" Id="Re967410d93a1466c" /><Relationship Type="http://schemas.openxmlformats.org/officeDocument/2006/relationships/worksheet" Target="/xl/worksheets/sheet9.xml" Id="R766f33863c88424e" /><Relationship Type="http://schemas.openxmlformats.org/officeDocument/2006/relationships/worksheet" Target="/xl/worksheets/sheet10.xml" Id="R7f80bbc84b854878" /><Relationship Type="http://schemas.openxmlformats.org/officeDocument/2006/relationships/worksheet" Target="/xl/worksheets/sheet11.xml" Id="R1b6a7984461e4f32" /><Relationship Type="http://schemas.openxmlformats.org/officeDocument/2006/relationships/worksheet" Target="/xl/worksheets/sheet12.xml" Id="R4b15b3dcf01048ae" /><Relationship Type="http://schemas.openxmlformats.org/officeDocument/2006/relationships/worksheet" Target="/xl/worksheets/sheet13.xml" Id="R544422b8de8d4dbf" /><Relationship Type="http://schemas.openxmlformats.org/officeDocument/2006/relationships/worksheet" Target="/xl/worksheets/sheet14.xml" Id="Raab1e6aa63ab4311" /><Relationship Type="http://schemas.openxmlformats.org/officeDocument/2006/relationships/worksheet" Target="/xl/worksheets/sheet15.xml" Id="Ree1306e0197b4e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F5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22" hidden="0" customWidth="1"/>
    <x:col min="3" max="3" width="28" hidden="0" customWidth="1"/>
    <x:col min="4" max="4" width="3" hidden="0" customWidth="1"/>
    <x:col min="5" max="5" width="12" hidden="0" customWidth="1"/>
    <x:col min="6" max="6" width="19" hidden="0" customWidth="1"/>
    <x:col min="7" max="7" width="33" hidden="0" customWidth="1"/>
    <x:col min="8" max="8" width="21" hidden="0" customWidth="1"/>
  </x:cols>
  <x:sheetData>
    <x:row r="1" ht="22" customHeight="1">
      <x:c r="A1" s="376" t="str">
        <x:v>Start — Weekly Cash Plan</x:v>
      </x:c>
      <x:c r="B1" s="376"/>
      <x:c r="C1" s="376"/>
      <x:c r="D1" s="362"/>
      <x:c r="E1" s="379" t="str">
        <x:v>Import checkpoints</x:v>
      </x:c>
      <x:c r="F1" s="379"/>
      <x:c r="G1" s="379"/>
      <x:c r="H1" s="379"/>
    </x:row>
    <x:row r="2" ht="28" customHeight="1">
      <x:c r="A2" s="377" t="str">
        <x:v>Open this page first. It answers whether this week’s plan can be funded from Wells and the exact transfer needed. Use Tuesday Review to complete the actions; use This Week only for spending analysis.</x:v>
      </x:c>
      <x:c r="B2" s="377"/>
      <x:c r="C2" s="377"/>
      <x:c r="D2" s="362"/>
      <x:c r="E2" s="363" t="str">
        <x:v>Green is formula-based: the expected visible entry count, pending total, and anchor check must match the ledger. A received screenshot alone is not verification.</x:v>
      </x:c>
      <x:c r="F2" s="363"/>
      <x:c r="G2" s="363"/>
      <x:c r="H2" s="363"/>
    </x:row>
    <x:row r="3">
      <x:c r="A3" s="362"/>
      <x:c r="B3" s="362"/>
      <x:c r="C3" s="362"/>
      <x:c r="D3" s="362"/>
      <x:c r="E3" s="362"/>
      <x:c r="F3" s="362"/>
      <x:c r="G3" s="362"/>
      <x:c r="H3" s="362"/>
    </x:row>
    <x:row r="4" ht="22" customHeight="1">
      <x:c r="A4" s="378" t="str">
        <x:v>Today’s cash plan — Sep 9</x:v>
      </x:c>
      <x:c r="B4" s="378"/>
      <x:c r="C4" s="378"/>
      <x:c r="D4" s="362"/>
      <x:c r="E4" s="378" t="str">
        <x:v>Source checkpoints</x:v>
      </x:c>
      <x:c r="F4" s="378"/>
      <x:c r="G4" s="378"/>
      <x:c r="H4" s="378"/>
    </x:row>
    <x:row r="5" ht="28" customHeight="1">
      <x:c r="A5" s="364" t="str">
        <x:v>Wells available now</x:v>
      </x:c>
      <x:c r="B5" s="380" t="n">
        <x:f>'2. Tuesday Review'!E22</x:f>
        <x:v>1227.78</x:v>
      </x:c>
      <x:c r="C5" s="366" t="str">
        <x:v>After pending Fidelity debit</x:v>
      </x:c>
      <x:c r="D5" s="362"/>
      <x:c r="E5" s="367" t="str">
        <x:v>Import status</x:v>
      </x:c>
      <x:c r="F5" s="368" t="str">
        <x:v>Account</x:v>
      </x:c>
      <x:c r="G5" s="368" t="str">
        <x:v>Latest posted anchor</x:v>
      </x:c>
      <x:c r="H5" s="369" t="str">
        <x:v>Next statement check</x:v>
      </x:c>
    </x:row>
    <x:row r="6" ht="28" customHeight="1">
      <x:c r="A6" s="370" t="str">
        <x:v>Cash required today</x:v>
      </x:c>
      <x:c r="B6" s="381" t="n">
        <x:f>'2. Tuesday Review'!E21</x:f>
        <x:v>1226.78</x:v>
      </x:c>
      <x:c r="C6" s="372" t="str">
        <x:v>Rent uses only Wells capacity after required actions</x:v>
      </x:c>
      <x:c r="D6" s="362"/>
      <x:c r="E6" s="349" t="str">
        <x:f>'Support - Account Snapshots'!I12</x:f>
        <x:v>Verified</x:v>
      </x:c>
      <x:c r="F6" s="350" t="str">
        <x:v>Wells Fargo</x:v>
      </x:c>
      <x:c r="G6" s="350" t="str">
        <x:v>Sep 8 · Chase ePay · $1,141.57</x:v>
      </x:c>
      <x:c r="H6" s="351" t="str">
        <x:v>Statement received Sep 8</x:v>
      </x:c>
    </x:row>
    <x:row r="7" ht="28" customHeight="1">
      <x:c r="A7" s="370" t="str">
        <x:v>Move from Wealthfront</x:v>
      </x:c>
      <x:c r="B7" s="381" t="n">
        <x:f>'2. Tuesday Review'!E24</x:f>
        <x:v>0</x:v>
      </x:c>
      <x:c r="C7" s="372" t="str">
        <x:v>Only if still short after net rent funding; retain $1 in Wells</x:v>
      </x:c>
      <x:c r="D7" s="362"/>
      <x:c r="E7" s="352" t="str">
        <x:f>'Support - Account Snapshots'!I13</x:f>
        <x:v>Verified</x:v>
      </x:c>
      <x:c r="F7" s="353" t="str">
        <x:v>Wealthfront</x:v>
      </x:c>
      <x:c r="G7" s="353" t="str">
        <x:v>Sep 2 · Wells transfer · $631.34</x:v>
      </x:c>
      <x:c r="H7" s="354" t="str">
        <x:v>Confirm statement date</x:v>
      </x:c>
    </x:row>
    <x:row r="8" ht="28" customHeight="1">
      <x:c r="A8" s="373" t="str">
        <x:v>Wells left after plan</x:v>
      </x:c>
      <x:c r="B8" s="382" t="n">
        <x:f>B5+B7-B6</x:f>
        <x:v>1</x:v>
      </x:c>
      <x:c r="C8" s="375" t="str">
        <x:v>Next action: complete the open items in Tuesday Review</x:v>
      </x:c>
      <x:c r="D8" s="362"/>
      <x:c r="E8" s="352" t="str">
        <x:f>IF(AND('Support - Account Snapshots'!I14="Verified",'Support - Account Snapshots'!I15="Verified"),"Verified","Source check needed")</x:f>
        <x:v>Verified</x:v>
      </x:c>
      <x:c r="F8" s="353" t="str">
        <x:v>Chase Sapphire</x:v>
      </x:c>
      <x:c r="G8" s="353" t="str">
        <x:v>Sep 6 · Card payment · $1,141.57</x:v>
      </x:c>
      <x:c r="H8" s="354" t="str">
        <x:v>Check after Sep 27</x:v>
      </x:c>
    </x:row>
    <x:row r="9" ht="28" customHeight="1">
      <x:c r="A9" s="362"/>
      <x:c r="B9" s="362"/>
      <x:c r="C9" s="362"/>
      <x:c r="D9" s="362"/>
      <x:c r="E9" s="352" t="str">
        <x:f>'Support - Account Snapshots'!I16</x:f>
        <x:v>Verified</x:v>
      </x:c>
      <x:c r="F9" s="353" t="str">
        <x:v>Citi AAdvantage</x:v>
      </x:c>
      <x:c r="G9" s="353" t="str">
        <x:v>Sep 3 · PCC Ingleside · $68.75</x:v>
      </x:c>
      <x:c r="H9" s="354" t="str">
        <x:v>Check after Oct 7</x:v>
      </x:c>
    </x:row>
    <x:row r="10" ht="28" customHeight="1">
      <x:c r="A10" s="362"/>
      <x:c r="B10" s="362"/>
      <x:c r="C10" s="362"/>
      <x:c r="D10" s="362"/>
      <x:c r="E10" s="352" t="str">
        <x:f>'Support - Account Snapshots'!I17</x:f>
        <x:v>Verified</x:v>
      </x:c>
      <x:c r="F10" s="353" t="str">
        <x:v>Prime Visa</x:v>
      </x:c>
      <x:c r="G10" s="353" t="str">
        <x:v>No activity shown · $0 balance</x:v>
      </x:c>
      <x:c r="H10" s="354" t="str">
        <x:v>Confirm statement date</x:v>
      </x:c>
    </x:row>
    <x:row r="11" ht="28" customHeight="1">
      <x:c r="A11" s="362"/>
      <x:c r="B11" s="362"/>
      <x:c r="C11" s="362"/>
      <x:c r="D11" s="362"/>
      <x:c r="E11" s="352" t="str">
        <x:f>'Support - Account Snapshots'!I18</x:f>
        <x:v>Verified</x:v>
      </x:c>
      <x:c r="F11" s="353" t="str">
        <x:v>Discover</x:v>
      </x:c>
      <x:c r="G11" s="353" t="str">
        <x:v>Aug 11 · internet payment · $48.27</x:v>
      </x:c>
      <x:c r="H11" s="354" t="str">
        <x:v>Confirm statement date</x:v>
      </x:c>
    </x:row>
    <x:row r="12" ht="28" customHeight="1">
      <x:c r="A12" s="362"/>
      <x:c r="B12" s="362"/>
      <x:c r="C12" s="362"/>
      <x:c r="D12" s="362"/>
      <x:c r="E12" s="352" t="str">
        <x:f>'Support - Account Snapshots'!I19</x:f>
        <x:v>Verified</x:v>
      </x:c>
      <x:c r="F12" s="353" t="str">
        <x:v>Capital One</x:v>
      </x:c>
      <x:c r="G12" s="353" t="str">
        <x:v>No activity shown · $0 balance</x:v>
      </x:c>
      <x:c r="H12" s="354" t="str">
        <x:v>Confirm statement date</x:v>
      </x:c>
    </x:row>
    <x:row r="13" ht="28" customHeight="1">
      <x:c r="A13" s="362"/>
      <x:c r="B13" s="362"/>
      <x:c r="C13" s="362"/>
      <x:c r="D13" s="362"/>
      <x:c r="E13" s="352" t="str">
        <x:f>'Support - Account Snapshots'!I20</x:f>
        <x:v>Verified</x:v>
      </x:c>
      <x:c r="F13" s="353" t="str">
        <x:v>PayPal Credit</x:v>
      </x:c>
      <x:c r="G13" s="353" t="str">
        <x:v>Sep 2 · payment · $148.65</x:v>
      </x:c>
      <x:c r="H13" s="354" t="str">
        <x:v>Confirm statement date</x:v>
      </x:c>
    </x:row>
    <x:row r="14" ht="28" customHeight="1">
      <x:c r="A14" s="362"/>
      <x:c r="B14" s="362"/>
      <x:c r="C14" s="362"/>
      <x:c r="D14" s="362"/>
      <x:c r="E14" s="358" t="str">
        <x:v>Not due</x:v>
      </x:c>
      <x:c r="F14" s="359" t="str">
        <x:v>RBC Canada</x:v>
      </x:c>
      <x:c r="G14" s="359" t="str">
        <x:v>Month-end loan + insurance</x:v>
      </x:c>
      <x:c r="H14" s="360" t="str">
        <x:v>Check at month-end</x:v>
      </x:c>
    </x:row>
    <x:row r="15">
      <x:c r="A15" s="362"/>
      <x:c r="B15" s="362"/>
      <x:c r="C15" s="362"/>
      <x:c r="D15" s="362"/>
      <x:c r="E15" s="362"/>
      <x:c r="F15" s="362"/>
      <x:c r="G15" s="362"/>
      <x:c r="H15" s="362"/>
    </x:row>
    <x:row r="16" ht="25" customHeight="1">
      <x:c r="A16" s="362"/>
      <x:c r="B16" s="362"/>
      <x:c r="C16" s="362"/>
      <x:c r="D16" s="362"/>
      <x:c r="E16" s="361" t="str">
        <x:v>Fidelity is verified through Wells Fargo transfers. PayPal Credit is reviewed weekly because its promotional balances have payment deadlines.</x:v>
      </x:c>
      <x:c r="F16" s="361"/>
      <x:c r="G16" s="361"/>
      <x:c r="H16" s="361"/>
    </x:row>
    <x:row r="17" ht="25" customHeight="1">
      <x:c r="A17" s="362"/>
      <x:c r="B17" s="362"/>
      <x:c r="C17" s="362"/>
      <x:c r="D17" s="362"/>
      <x:c r="E17" s="361"/>
      <x:c r="F17" s="361"/>
      <x:c r="G17" s="361"/>
      <x:c r="H17" s="361"/>
    </x:row>
  </x:sheetData>
  <x:mergeCells>
    <x:mergeCell ref="A1:C1"/>
    <x:mergeCell ref="A2:C2"/>
    <x:mergeCell ref="A4:C4"/>
    <x:mergeCell ref="E1:H1"/>
    <x:mergeCell ref="E2:H2"/>
    <x:mergeCell ref="E4:H4"/>
    <x:mergeCell ref="E16:H17"/>
  </x:mergeCells>
  <x:conditionalFormatting sqref="E6:E13">
    <x:cfRule type="containsText" dxfId="22" priority="1" operator="containsText" text="Needs"/>
    <x:cfRule type="containsText" dxfId="23" priority="2" operator="containsText" text="Source check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F5F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21" hidden="0" customWidth="1"/>
    <x:col min="4" max="4" width="18" hidden="0" customWidth="1"/>
    <x:col min="5" max="5" width="18" hidden="0" customWidth="1"/>
    <x:col min="6" max="6" width="15" hidden="0" customWidth="1"/>
    <x:col min="7" max="7" width="41" hidden="0" customWidth="1"/>
  </x:cols>
  <x:sheetData>
    <x:row r="1" ht="27" customHeight="1">
      <x:c r="A1" s="376" t="str">
        <x:v>Tuesday Review — Live Sep 9</x:v>
      </x:c>
      <x:c r="B1" s="376"/>
      <x:c r="C1" s="376"/>
      <x:c r="D1" s="376"/>
      <x:c r="E1" s="376"/>
      <x:c r="F1" s="376"/>
      <x:c r="G1" s="376"/>
    </x:row>
    <x:row r="2" ht="28" customHeight="1">
      <x:c r="A2" s="377" t="str">
        <x:v>Use this live checklist after Start is verified. Planned amounts come from the Sep. 9 account snapshots and funding rules. Done means no further action is needed from you; a bank transaction may still be pending settlement. Scheduled means a transfer is expected but not yet confirmed.</x:v>
      </x:c>
      <x:c r="B2" s="377"/>
      <x:c r="C2" s="377"/>
      <x:c r="D2" s="377"/>
      <x:c r="E2" s="377"/>
      <x:c r="F2" s="377"/>
      <x:c r="G2" s="377"/>
    </x:row>
    <x:row r="3">
      <x:c r="A3" s="362"/>
      <x:c r="B3" s="362"/>
      <x:c r="C3" s="362"/>
      <x:c r="D3" s="362"/>
      <x:c r="E3" s="362"/>
      <x:c r="F3" s="362"/>
      <x:c r="G3" s="362"/>
    </x:row>
    <x:row r="4" ht="22" customHeight="1">
      <x:c r="A4" s="378" t="str">
        <x:v>Sep 9 payment and funding plan</x:v>
      </x:c>
      <x:c r="B4" s="378"/>
      <x:c r="C4" s="378"/>
      <x:c r="D4" s="378"/>
      <x:c r="E4" s="378"/>
      <x:c r="F4" s="378"/>
      <x:c r="G4" s="378"/>
    </x:row>
    <x:row r="5" ht="24" customHeight="1">
      <x:c r="A5" s="367" t="str">
        <x:v>Source sets verified</x:v>
      </x:c>
      <x:c r="B5" s="368" t="str">
        <x:v>Review period</x:v>
      </x:c>
      <x:c r="C5" s="368" t="str">
        <x:v>Actions completed</x:v>
      </x:c>
      <x:c r="D5" s="368" t="str">
        <x:v>Live plan</x:v>
      </x:c>
      <x:c r="E5" s="368"/>
      <x:c r="F5" s="368"/>
      <x:c r="G5" s="369"/>
    </x:row>
    <x:row r="6" ht="24" customHeight="1">
      <x:c r="A6" s="393" t="str">
        <x:f>COUNTIF('1. Start'!E6:E13,"Verified")&amp;" of "&amp;(COUNTA('1. Start'!F6:F14)-COUNTIF('1. Start'!E6:E14,"Not due"))&amp;" source sets verified"</x:f>
        <x:v>8 of 8 source sets verified</x:v>
      </x:c>
      <x:c r="B6" s="393" t="str">
        <x:v>Sep 1–Sep 7 purchases</x:v>
      </x:c>
      <x:c r="C6" s="393" t="str">
        <x:f>COUNTIF(F9:F19,"Done")&amp;" / "&amp;COUNTA(B9:B19)&amp;" actions completed"</x:f>
        <x:v>4 / 11 actions completed</x:v>
      </x:c>
      <x:c r="D6" s="393" t="str">
        <x:v>Use now</x:v>
      </x:c>
      <x:c r="E6" s="393"/>
      <x:c r="F6" s="393"/>
      <x:c r="G6" s="393"/>
    </x:row>
    <x:row r="7">
      <x:c r="A7" s="362"/>
      <x:c r="B7" s="362"/>
      <x:c r="C7" s="362"/>
      <x:c r="D7" s="362"/>
      <x:c r="E7" s="362"/>
      <x:c r="F7" s="362"/>
      <x:c r="G7" s="362"/>
    </x:row>
    <x:row r="8" ht="23" customHeight="1">
      <x:c r="A8" s="367" t="str">
        <x:v>Type</x:v>
      </x:c>
      <x:c r="B8" s="368" t="str">
        <x:v>Payment or transfer</x:v>
      </x:c>
      <x:c r="C8" s="368" t="str">
        <x:v>Basis</x:v>
      </x:c>
      <x:c r="D8" s="368" t="str">
        <x:v>Planned amount</x:v>
      </x:c>
      <x:c r="E8" s="368" t="str">
        <x:v>Completed amount</x:v>
      </x:c>
      <x:c r="F8" s="368" t="str">
        <x:v>Done?</x:v>
      </x:c>
      <x:c r="G8" s="369" t="str">
        <x:v>Confirmation note</x:v>
      </x:c>
    </x:row>
    <x:row r="9" ht="28" customHeight="1">
      <x:c r="A9" s="362" t="str">
        <x:v>Card payment</x:v>
      </x:c>
      <x:c r="B9" s="362" t="str">
        <x:v>Chase Sapphire</x:v>
      </x:c>
      <x:c r="C9" s="362" t="str">
        <x:v>Current Sep. 9 balance</x:v>
      </x:c>
      <x:c r="D9" s="403" t="n">
        <x:f>'Support - Debt Detail'!B5</x:f>
        <x:v>266.96</x:v>
      </x:c>
      <x:c r="E9" s="395"/>
      <x:c r="F9" s="404" t="str">
        <x:v>Not done</x:v>
      </x:c>
      <x:c r="G9" s="362" t="str">
        <x:v>Pay the current balance if maintaining the weekly payoff routine</x:v>
      </x:c>
    </x:row>
    <x:row r="10" ht="28" customHeight="1">
      <x:c r="A10" s="362" t="str">
        <x:v>Card payment</x:v>
      </x:c>
      <x:c r="B10" s="362" t="str">
        <x:v>Citi card</x:v>
      </x:c>
      <x:c r="C10" s="362" t="str">
        <x:v>Current Sep. 9 balance</x:v>
      </x:c>
      <x:c r="D10" s="403" t="n">
        <x:f>'Support - Debt Detail'!B6</x:f>
        <x:v>132.09</x:v>
      </x:c>
      <x:c r="E10" s="395"/>
      <x:c r="F10" s="404" t="str">
        <x:v>Not done</x:v>
      </x:c>
      <x:c r="G10" s="362" t="str">
        <x:v>Pay the current balance if maintaining the weekly payoff routine</x:v>
      </x:c>
    </x:row>
    <x:row r="11" ht="28" customHeight="1">
      <x:c r="A11" s="362" t="str">
        <x:v>Card payment</x:v>
      </x:c>
      <x:c r="B11" s="362" t="str">
        <x:v>Prime Visa</x:v>
      </x:c>
      <x:c r="C11" s="362" t="str">
        <x:v>No balance due</x:v>
      </x:c>
      <x:c r="D11" s="403" t="n">
        <x:v>0</x:v>
      </x:c>
      <x:c r="E11" s="395"/>
      <x:c r="F11" s="404" t="str">
        <x:v>Not due</x:v>
      </x:c>
      <x:c r="G11" s="362" t="str">
        <x:v>No payment needed</x:v>
      </x:c>
    </x:row>
    <x:row r="12" ht="28" customHeight="1">
      <x:c r="A12" s="362" t="str">
        <x:v>Debt payment</x:v>
      </x:c>
      <x:c r="B12" s="362" t="str">
        <x:v>PayPal promotional payoff</x:v>
      </x:c>
      <x:c r="C12" s="362" t="str">
        <x:v>Stage 1 payoff target</x:v>
      </x:c>
      <x:c r="D12" s="403" t="n">
        <x:f>'Support - Promo Detail'!F12</x:f>
        <x:v>148.616</x:v>
      </x:c>
      <x:c r="E12" s="395"/>
      <x:c r="F12" s="404" t="str">
        <x:v>Not done</x:v>
      </x:c>
      <x:c r="G12" s="362" t="str">
        <x:v>Five weekly payments remain before Oct. 10</x:v>
      </x:c>
    </x:row>
    <x:row r="13" ht="28" customHeight="1">
      <x:c r="A13" s="362" t="str">
        <x:v>Transfer</x:v>
      </x:c>
      <x:c r="B13" s="362" t="str">
        <x:v>Rent fund — October</x:v>
      </x:c>
      <x:c r="C13" s="362" t="str">
        <x:v>Wells capacity after required actions; capped at normal plan</x:v>
      </x:c>
      <x:c r="D13" s="403" t="n">
        <x:f>MIN('5. Savings &amp; Debt'!$B$26,MAX(0,$E$22-SUM($D$9:$D$12,$D$14,$D$16:$D$18)-$E$23))</x:f>
        <x:v>178.49169230769235</x:v>
      </x:c>
      <x:c r="E13" s="395"/>
      <x:c r="F13" s="404" t="str">
        <x:v>Not done</x:v>
      </x:c>
      <x:c r="G13" s="362" t="str">
        <x:v>Move only this calculated amount to rent reserve; it records today’s actual funding</x:v>
      </x:c>
    </x:row>
    <x:row r="14" ht="28" customHeight="1">
      <x:c r="A14" s="362" t="str">
        <x:v>Transfer</x:v>
      </x:c>
      <x:c r="B14" s="362" t="str">
        <x:v>Car fund / CUTX</x:v>
      </x:c>
      <x:c r="C14" s="362" t="str">
        <x:v>Weekly reserve toward Sep. 27 due date</x:v>
      </x:c>
      <x:c r="D14" s="403" t="n">
        <x:f>'Support - Budget Inputs'!E13</x:f>
        <x:v>172.26230769230767</x:v>
      </x:c>
      <x:c r="E14" s="395"/>
      <x:c r="F14" s="404" t="str">
        <x:v>Not done</x:v>
      </x:c>
      <x:c r="G14" s="362" t="str">
        <x:v>Move to CUTX reserve; do not pay the loan early</x:v>
      </x:c>
    </x:row>
    <x:row r="15" ht="28" customHeight="1">
      <x:c r="A15" s="362" t="str">
        <x:v>Automatic</x:v>
      </x:c>
      <x:c r="B15" s="362" t="str">
        <x:v>Fidelity 401(k)</x:v>
      </x:c>
      <x:c r="C15" s="362" t="str">
        <x:v>Pending; already in Wells available balance</x:v>
      </x:c>
      <x:c r="D15" s="403" t="n">
        <x:v>75</x:v>
      </x:c>
      <x:c r="E15" s="395"/>
      <x:c r="F15" s="404" t="str">
        <x:v>Done</x:v>
      </x:c>
      <x:c r="G15" s="362" t="str">
        <x:v>Do not count again in cash required</x:v>
      </x:c>
    </x:row>
    <x:row r="16" ht="28" customHeight="1">
      <x:c r="A16" s="362" t="str">
        <x:v>Automatic</x:v>
      </x:c>
      <x:c r="B16" s="362" t="str">
        <x:v>PayPal cruise savings</x:v>
      </x:c>
      <x:c r="C16" s="362" t="str">
        <x:v>Flexible savings contribution</x:v>
      </x:c>
      <x:c r="D16" s="403" t="n">
        <x:v>85</x:v>
      </x:c>
      <x:c r="E16" s="395"/>
      <x:c r="F16" s="404" t="str">
        <x:v>Done</x:v>
      </x:c>
      <x:c r="G16" s="362" t="str">
        <x:v>Included in cash required; confirm after it posts</x:v>
      </x:c>
    </x:row>
    <x:row r="17" ht="28" customHeight="1">
      <x:c r="A17" s="362" t="str">
        <x:v>Automatic</x:v>
      </x:c>
      <x:c r="B17" s="362" t="str">
        <x:v>PayPal tuition savings</x:v>
      </x:c>
      <x:c r="C17" s="362" t="str">
        <x:v>Weekly scheduled transfer</x:v>
      </x:c>
      <x:c r="D17" s="403" t="n">
        <x:v>193.36</x:v>
      </x:c>
      <x:c r="E17" s="395"/>
      <x:c r="F17" s="404" t="str">
        <x:v>Done</x:v>
      </x:c>
      <x:c r="G17" s="362" t="str">
        <x:v>Included in cash required; confirm after it posts</x:v>
      </x:c>
    </x:row>
    <x:row r="18" ht="28" customHeight="1">
      <x:c r="A18" s="362" t="str">
        <x:v>Automatic</x:v>
      </x:c>
      <x:c r="B18" s="362" t="str">
        <x:v>PayPal future-expenses savings</x:v>
      </x:c>
      <x:c r="C18" s="362" t="str">
        <x:v>Flexible savings contribution</x:v>
      </x:c>
      <x:c r="D18" s="403" t="n">
        <x:v>50</x:v>
      </x:c>
      <x:c r="E18" s="395"/>
      <x:c r="F18" s="404" t="str">
        <x:v>Done</x:v>
      </x:c>
      <x:c r="G18" s="362" t="str">
        <x:v>Included in cash required; confirm after it posts</x:v>
      </x:c>
    </x:row>
    <x:row r="19" ht="28" customHeight="1">
      <x:c r="A19" s="362" t="str">
        <x:v>Transfer</x:v>
      </x:c>
      <x:c r="B19" s="362" t="str">
        <x:v>Wealthfront to Wells</x:v>
      </x:c>
      <x:c r="C19" s="362" t="str">
        <x:v>Cover a remaining cash shortfall</x:v>
      </x:c>
      <x:c r="D19" s="403" t="n">
        <x:f>MAX(0,E21+E23-E22)</x:f>
        <x:v>0</x:v>
      </x:c>
      <x:c r="E19" s="395"/>
      <x:c r="F19" s="404" t="str">
        <x:v>Not done</x:v>
      </x:c>
      <x:c r="G19" s="362" t="str">
        <x:f>IF(D19=0,"No transfer needed after net rent funding","Transfer this amount from Wealthfront so Wells retains $1 after all actions")</x:f>
        <x:v>No transfer needed after net rent funding</x:v>
      </x:c>
    </x:row>
    <x:row r="20">
      <x:c r="A20" s="393" t="str">
        <x:v>Planned subtotal (cash actions)</x:v>
      </x:c>
      <x:c r="B20" s="393"/>
      <x:c r="C20" s="393"/>
      <x:c r="D20" s="397" t="n">
        <x:f>SUM(D9:D14,D16:D18)</x:f>
        <x:v>1226.78</x:v>
      </x:c>
      <x:c r="E20" s="362"/>
      <x:c r="F20" s="362"/>
      <x:c r="G20" s="362"/>
    </x:row>
    <x:row r="21">
      <x:c r="A21" s="398" t="str">
        <x:v>Cash required for payments and transfers</x:v>
      </x:c>
      <x:c r="B21" s="398"/>
      <x:c r="C21" s="398"/>
      <x:c r="D21" s="398"/>
      <x:c r="E21" s="405" t="n">
        <x:f>SUM(D9:D14,D16:D18)</x:f>
        <x:v>1226.78</x:v>
      </x:c>
      <x:c r="F21" s="362"/>
      <x:c r="G21" s="362"/>
    </x:row>
    <x:row r="22">
      <x:c r="A22" s="398" t="str">
        <x:v>Wells available now after pending Fidelity</x:v>
      </x:c>
      <x:c r="B22" s="398"/>
      <x:c r="C22" s="398"/>
      <x:c r="D22" s="398"/>
      <x:c r="E22" s="406" t="n">
        <x:v>1227.78</x:v>
      </x:c>
      <x:c r="F22" s="362"/>
      <x:c r="G22" s="362"/>
    </x:row>
    <x:row r="23">
      <x:c r="A23" s="401" t="str">
        <x:v>Minimum Wells balance after all actions</x:v>
      </x:c>
      <x:c r="B23" s="401"/>
      <x:c r="C23" s="401"/>
      <x:c r="D23" s="401"/>
      <x:c r="E23" s="406" t="n">
        <x:v>1</x:v>
      </x:c>
      <x:c r="F23" s="362"/>
      <x:c r="G23" s="362"/>
    </x:row>
    <x:row r="24">
      <x:c r="A24" s="398" t="str">
        <x:v>Move from Wealthfront to Wells if needed</x:v>
      </x:c>
      <x:c r="B24" s="398"/>
      <x:c r="C24" s="398"/>
      <x:c r="D24" s="398"/>
      <x:c r="E24" s="407" t="n">
        <x:f>D19</x:f>
        <x:v>0</x:v>
      </x:c>
      <x:c r="F24" s="362"/>
      <x:c r="G24" s="362"/>
    </x:row>
  </x:sheetData>
  <x:mergeCells>
    <x:mergeCell ref="A1:G1"/>
    <x:mergeCell ref="A2:G2"/>
    <x:mergeCell ref="A4:G4"/>
    <x:mergeCell ref="A20:C20"/>
    <x:mergeCell ref="A21:D21"/>
    <x:mergeCell ref="A22:D22"/>
    <x:mergeCell ref="A23:D23"/>
    <x:mergeCell ref="A24:D24"/>
  </x:mergeCells>
  <x:dataValidations count="1">
    <x:dataValidation type="list" sqref="F9:F19">
      <x:formula1>"Not done,Done,✓ Done,Not due,Scheduled,Deferred,Partial"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73F5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7" customHeight="1">
      <x:c r="A1" s="376" t="str">
        <x:v>This Week — Spending Analysis</x:v>
      </x:c>
      <x:c r="B1" s="376"/>
      <x:c r="C1" s="376"/>
      <x:c r="D1" s="376"/>
      <x:c r="E1" s="376"/>
      <x:c r="F1" s="376"/>
      <x:c r="G1" s="376"/>
    </x:row>
    <x:row r="2" ht="28" customHeight="1">
      <x:c r="A2" s="377" t="str">
        <x:v>Review new purchases against their weekly category limits here. Pending charges count so the week cannot look safer than it is. This is analysis, not the cash decision for today; payments and transfers do not belong here. Only source-verified ledger rows are counted.</x:v>
      </x:c>
      <x:c r="B2" s="377"/>
      <x:c r="C2" s="377"/>
      <x:c r="D2" s="377"/>
      <x:c r="E2" s="377"/>
      <x:c r="F2" s="377"/>
      <x:c r="G2" s="377"/>
    </x:row>
    <x:row r="3" ht="24" customHeight="1">
      <x:c r="A3" s="362" t="str">
        <x:v>Week beginning (Tuesday)</x:v>
      </x:c>
      <x:c r="B3" s="414" t="n">
        <x:v>46266</x:v>
      </x:c>
      <x:c r="C3" s="362"/>
      <x:c r="D3" s="362" t="str">
        <x:v>Week ends</x:v>
      </x:c>
      <x:c r="E3" s="415" t="n">
        <x:f>B3+6</x:f>
        <x:v>46272</x:v>
      </x:c>
      <x:c r="F3" s="362" t="str">
        <x:v>Budget status</x:v>
      </x:c>
      <x:c r="G3" s="362" t="str">
        <x:f>IF(COUNTIFS('Support - Ledger'!$H$5:$H$304,$B$3,'Support - Ledger'!$G$5:$G$304,"Include",'Support - Ledger'!$M$5:$M$304,"&lt;&gt;Verified")&gt;0,"Source check needed",IF(F23&lt;0,"Over plan","Within plan"))</x:f>
        <x:v>Within plan</x:v>
      </x:c>
    </x:row>
    <x:row r="4">
      <x:c r="A4" s="362"/>
      <x:c r="B4" s="362"/>
      <x:c r="C4" s="362"/>
      <x:c r="D4" s="362"/>
      <x:c r="E4" s="362"/>
      <x:c r="F4" s="362"/>
      <x:c r="G4" s="362"/>
    </x:row>
    <x:row r="5" ht="23" customHeight="1">
      <x:c r="A5" s="367" t="str">
        <x:v>Category</x:v>
      </x:c>
      <x:c r="B5" s="368" t="str">
        <x:v>Weekly target</x:v>
      </x:c>
      <x:c r="C5" s="368" t="str">
        <x:v>Posted actual</x:v>
      </x:c>
      <x:c r="D5" s="368" t="str">
        <x:v>Pending</x:v>
      </x:c>
      <x:c r="E5" s="368" t="str">
        <x:v>Committed</x:v>
      </x:c>
      <x:c r="F5" s="368" t="str">
        <x:v>Remaining / over</x:v>
      </x:c>
      <x:c r="G5" s="369" t="str">
        <x:v>Status</x:v>
      </x:c>
    </x:row>
    <x:row r="6" ht="24" customHeight="1">
      <x:c r="A6" s="362" t="str">
        <x:v>H-E-B / groceries</x:v>
      </x:c>
      <x:c r="B6" s="416" t="n">
        <x:f>'Support - Budget Inputs'!E23</x:f>
        <x:v>79.77692307692307</x:v>
      </x:c>
      <x:c r="C6" s="416" t="n">
        <x:f>SUMIFS('Support - Ledger'!$D$5:$D$304,'Support - Ledger'!$F$5:$F$304,A6,'Support - Ledger'!$H$5:$H$304,$B$3,'Support - Ledger'!$E$5:$E$304,"Posted",'Support - Ledger'!$G$5:$G$304,"Include",'Support - Ledger'!$M$5:$M$304,"Verified")</x:f>
        <x:v>199.04</x:v>
      </x:c>
      <x:c r="D6" s="416" t="n">
        <x:f>SUMIFS('Support - Ledger'!$D$5:$D$304,'Support - Ledger'!$F$5:$F$304,A6,'Support - Ledger'!$H$5:$H$304,$B$3,'Support - Ledger'!$E$5:$E$304,"Pending",'Support - Ledger'!$G$5:$G$304,"Include",'Support - Ledger'!$M$5:$M$304,"Verified")</x:f>
        <x:v>0</x:v>
      </x:c>
      <x:c r="E6" s="416" t="n">
        <x:f>C6+D6</x:f>
        <x:v>199.04</x:v>
      </x:c>
      <x:c r="F6" s="416" t="n">
        <x:f>IF(B6=0,"",B6-E6)</x:f>
        <x:v>-119.26307692307692</x:v>
      </x:c>
      <x:c r="G6" s="362" t="str">
        <x:f>IF(B6=0,"No target set",IF(E6=0,"No activity",IF(F6&lt;0,"Over plan","On track")))</x:f>
        <x:v>Over plan</x:v>
      </x:c>
    </x:row>
    <x:row r="7" ht="24" customHeight="1">
      <x:c r="A7" s="362" t="str">
        <x:v>DoorDash</x:v>
      </x:c>
      <x:c r="B7" s="416" t="n">
        <x:f>'Support - Budget Inputs'!E24</x:f>
        <x:v>25</x:v>
      </x:c>
      <x:c r="C7" s="416" t="n">
        <x:f>SUMIFS('Support - Ledger'!$D$5:$D$304,'Support - Ledger'!$F$5:$F$304,A7,'Support - Ledger'!$H$5:$H$304,$B$3,'Support - Ledger'!$E$5:$E$304,"Posted",'Support - Ledger'!$G$5:$G$304,"Include",'Support - Ledger'!$M$5:$M$304,"Verified")</x:f>
        <x:v>0</x:v>
      </x:c>
      <x:c r="D7" s="416" t="n">
        <x:f>SUMIFS('Support - Ledger'!$D$5:$D$304,'Support - Ledger'!$F$5:$F$304,A7,'Support - Ledger'!$H$5:$H$304,$B$3,'Support - Ledger'!$E$5:$E$304,"Pending",'Support - Ledger'!$G$5:$G$304,"Include",'Support - Ledger'!$M$5:$M$304,"Verified")</x:f>
        <x:v>0</x:v>
      </x:c>
      <x:c r="E7" s="416" t="n">
        <x:f>C7+D7</x:f>
        <x:v>0</x:v>
      </x:c>
      <x:c r="F7" s="416" t="n">
        <x:f>IF(B7=0,"",B7-E7)</x:f>
        <x:v>25</x:v>
      </x:c>
      <x:c r="G7" s="362" t="str">
        <x:f>IF(B7=0,"No target set",IF(E7=0,"No activity",IF(F7&lt;0,"Over plan","On track")))</x:f>
        <x:v>No activity</x:v>
      </x:c>
    </x:row>
    <x:row r="8" ht="24" customHeight="1">
      <x:c r="A8" s="362" t="str">
        <x:v>Starbucks</x:v>
      </x:c>
      <x:c r="B8" s="416" t="n">
        <x:f>'Support - Budget Inputs'!E28</x:f>
        <x:v>30</x:v>
      </x:c>
      <x:c r="C8" s="416" t="n">
        <x:f>SUMIFS('Support - Ledger'!$D$5:$D$304,'Support - Ledger'!$F$5:$F$304,A8,'Support - Ledger'!$H$5:$H$304,$B$3,'Support - Ledger'!$E$5:$E$304,"Posted",'Support - Ledger'!$G$5:$G$304,"Include",'Support - Ledger'!$M$5:$M$304,"Verified")</x:f>
        <x:v>42.55</x:v>
      </x:c>
      <x:c r="D8" s="416" t="n">
        <x:f>SUMIFS('Support - Ledger'!$D$5:$D$304,'Support - Ledger'!$F$5:$F$304,A8,'Support - Ledger'!$H$5:$H$304,$B$3,'Support - Ledger'!$E$5:$E$304,"Pending",'Support - Ledger'!$G$5:$G$304,"Include",'Support - Ledger'!$M$5:$M$304,"Verified")</x:f>
        <x:v>0</x:v>
      </x:c>
      <x:c r="E8" s="416" t="n">
        <x:f>C8+D8</x:f>
        <x:v>42.55</x:v>
      </x:c>
      <x:c r="F8" s="416" t="n">
        <x:f>IF(B8=0,"",B8-E8)</x:f>
        <x:v>-12.549999999999997</x:v>
      </x:c>
      <x:c r="G8" s="362" t="str">
        <x:f>IF(B8=0,"No target set",IF(E8=0,"No activity",IF(F8&lt;0,"Over plan","On track")))</x:f>
        <x:v>Over plan</x:v>
      </x:c>
    </x:row>
    <x:row r="9" ht="24" customHeight="1">
      <x:c r="A9" s="362" t="str">
        <x:v>Invincibles + other Apple</x:v>
      </x:c>
      <x:c r="B9" s="416" t="n">
        <x:f>'Support - Budget Inputs'!E19</x:f>
        <x:v>50</x:v>
      </x:c>
      <x:c r="C9" s="416" t="n">
        <x:f>SUMIFS('Support - Ledger'!$D$5:$D$304,'Support - Ledger'!$F$5:$F$304,A9,'Support - Ledger'!$H$5:$H$304,$B$3,'Support - Ledger'!$E$5:$E$304,"Posted",'Support - Ledger'!$G$5:$G$304,"Include",'Support - Ledger'!$M$5:$M$304,"Verified")</x:f>
        <x:v>54.56</x:v>
      </x:c>
      <x:c r="D9" s="416" t="n">
        <x:f>SUMIFS('Support - Ledger'!$D$5:$D$304,'Support - Ledger'!$F$5:$F$304,A9,'Support - Ledger'!$H$5:$H$304,$B$3,'Support - Ledger'!$E$5:$E$304,"Pending",'Support - Ledger'!$G$5:$G$304,"Include",'Support - Ledger'!$M$5:$M$304,"Verified")</x:f>
        <x:v>0</x:v>
      </x:c>
      <x:c r="E9" s="416" t="n">
        <x:f>C9+D9</x:f>
        <x:v>54.56</x:v>
      </x:c>
      <x:c r="F9" s="416" t="n">
        <x:f>IF(B9=0,"",B9-E9)</x:f>
        <x:v>-4.560000000000002</x:v>
      </x:c>
      <x:c r="G9" s="362" t="str">
        <x:f>IF(B9=0,"No target set",IF(E9=0,"No activity",IF(F9&lt;0,"Over plan","On track")))</x:f>
        <x:v>Over plan</x:v>
      </x:c>
    </x:row>
    <x:row r="10" ht="24" customHeight="1">
      <x:c r="A10" s="362" t="str">
        <x:v>Work snacks</x:v>
      </x:c>
      <x:c r="B10" s="416" t="n">
        <x:f>'Support - Budget Inputs'!E29</x:f>
        <x:v>10</x:v>
      </x:c>
      <x:c r="C10" s="416" t="n">
        <x:f>SUMIFS('Support - Ledger'!$D$5:$D$304,'Support - Ledger'!$F$5:$F$304,A10,'Support - Ledger'!$H$5:$H$304,$B$3,'Support - Ledger'!$E$5:$E$304,"Posted",'Support - Ledger'!$G$5:$G$304,"Include",'Support - Ledger'!$M$5:$M$304,"Verified")</x:f>
        <x:v>13.989999999999998</x:v>
      </x:c>
      <x:c r="D10" s="416" t="n">
        <x:f>SUMIFS('Support - Ledger'!$D$5:$D$304,'Support - Ledger'!$F$5:$F$304,A10,'Support - Ledger'!$H$5:$H$304,$B$3,'Support - Ledger'!$E$5:$E$304,"Pending",'Support - Ledger'!$G$5:$G$304,"Include",'Support - Ledger'!$M$5:$M$304,"Verified")</x:f>
        <x:v>0</x:v>
      </x:c>
      <x:c r="E10" s="416" t="n">
        <x:f>C10+D10</x:f>
        <x:v>13.989999999999998</x:v>
      </x:c>
      <x:c r="F10" s="416" t="n">
        <x:f>IF(B10=0,"",B10-E10)</x:f>
        <x:v>-3.9899999999999984</x:v>
      </x:c>
      <x:c r="G10" s="362" t="str">
        <x:f>IF(B10=0,"No target set",IF(E10=0,"No activity",IF(F10&lt;0,"Over plan","On track")))</x:f>
        <x:v>Over plan</x:v>
      </x:c>
    </x:row>
    <x:row r="11" ht="24" customHeight="1">
      <x:c r="A11" s="362" t="str">
        <x:v>Shopping / personal care</x:v>
      </x:c>
      <x:c r="B11" s="416" t="n">
        <x:f>'Support - Budget Inputs'!E30</x:f>
        <x:v>50</x:v>
      </x:c>
      <x:c r="C11" s="416" t="n">
        <x:f>SUMIFS('Support - Ledger'!$D$5:$D$304,'Support - Ledger'!$F$5:$F$304,A11,'Support - Ledger'!$H$5:$H$304,$B$3,'Support - Ledger'!$E$5:$E$304,"Posted",'Support - Ledger'!$G$5:$G$304,"Include",'Support - Ledger'!$M$5:$M$304,"Verified")</x:f>
        <x:v>-71.46</x:v>
      </x:c>
      <x:c r="D11" s="416" t="n">
        <x:f>SUMIFS('Support - Ledger'!$D$5:$D$304,'Support - Ledger'!$F$5:$F$304,A11,'Support - Ledger'!$H$5:$H$304,$B$3,'Support - Ledger'!$E$5:$E$304,"Pending",'Support - Ledger'!$G$5:$G$304,"Include",'Support - Ledger'!$M$5:$M$304,"Verified")</x:f>
        <x:v>0</x:v>
      </x:c>
      <x:c r="E11" s="416" t="n">
        <x:f>C11+D11</x:f>
        <x:v>-71.46</x:v>
      </x:c>
      <x:c r="F11" s="416" t="n">
        <x:f>IF(B11=0,"",B11-E11)</x:f>
        <x:v>121.46</x:v>
      </x:c>
      <x:c r="G11" s="362" t="str">
        <x:f>IF(B11=0,"No target set",IF(E11=0,"No activity",IF(F11&lt;0,"Over plan","On track")))</x:f>
        <x:v>On track</x:v>
      </x:c>
    </x:row>
    <x:row r="12" ht="24" customHeight="1">
      <x:c r="A12" s="362" t="str">
        <x:v>Vapes</x:v>
      </x:c>
      <x:c r="B12" s="416" t="n">
        <x:f>'Support - Budget Inputs'!E31</x:f>
        <x:v>30</x:v>
      </x:c>
      <x:c r="C12" s="416" t="n">
        <x:f>SUMIFS('Support - Ledger'!$D$5:$D$304,'Support - Ledger'!$F$5:$F$304,A12,'Support - Ledger'!$H$5:$H$304,$B$3,'Support - Ledger'!$E$5:$E$304,"Posted",'Support - Ledger'!$G$5:$G$304,"Include",'Support - Ledger'!$M$5:$M$304,"Verified")</x:f>
        <x:v>0</x:v>
      </x:c>
      <x:c r="D12" s="416" t="n">
        <x:f>SUMIFS('Support - Ledger'!$D$5:$D$304,'Support - Ledger'!$F$5:$F$304,A12,'Support - Ledger'!$H$5:$H$304,$B$3,'Support - Ledger'!$E$5:$E$304,"Pending",'Support - Ledger'!$G$5:$G$304,"Include",'Support - Ledger'!$M$5:$M$304,"Verified")</x:f>
        <x:v>0</x:v>
      </x:c>
      <x:c r="E12" s="416" t="n">
        <x:f>C12+D12</x:f>
        <x:v>0</x:v>
      </x:c>
      <x:c r="F12" s="416" t="n">
        <x:f>IF(B12=0,"",B12-E12)</x:f>
        <x:v>30</x:v>
      </x:c>
      <x:c r="G12" s="362" t="str">
        <x:f>IF(B12=0,"No target set",IF(E12=0,"No activity",IF(F12&lt;0,"Over plan","On track")))</x:f>
        <x:v>No activity</x:v>
      </x:c>
    </x:row>
    <x:row r="13" ht="24" customHeight="1">
      <x:c r="A13" s="362" t="str">
        <x:v>Fuel</x:v>
      </x:c>
      <x:c r="B13" s="416" t="n">
        <x:f>'Support - Budget Inputs'!E25</x:f>
        <x:v>80.76923076923077</x:v>
      </x:c>
      <x:c r="C13" s="416" t="n">
        <x:f>SUMIFS('Support - Ledger'!$D$5:$D$304,'Support - Ledger'!$F$5:$F$304,A13,'Support - Ledger'!$H$5:$H$304,$B$3,'Support - Ledger'!$E$5:$E$304,"Posted",'Support - Ledger'!$G$5:$G$304,"Include",'Support - Ledger'!$M$5:$M$304,"Verified")</x:f>
        <x:v>159.14000000000001</x:v>
      </x:c>
      <x:c r="D13" s="416" t="n">
        <x:f>SUMIFS('Support - Ledger'!$D$5:$D$304,'Support - Ledger'!$F$5:$F$304,A13,'Support - Ledger'!$H$5:$H$304,$B$3,'Support - Ledger'!$E$5:$E$304,"Pending",'Support - Ledger'!$G$5:$G$304,"Include",'Support - Ledger'!$M$5:$M$304,"Verified")</x:f>
        <x:v>0</x:v>
      </x:c>
      <x:c r="E13" s="416" t="n">
        <x:f>C13+D13</x:f>
        <x:v>159.14000000000001</x:v>
      </x:c>
      <x:c r="F13" s="416" t="n">
        <x:f>IF(B13=0,"",B13-E13)</x:f>
        <x:v>-78.37076923076924</x:v>
      </x:c>
      <x:c r="G13" s="362" t="str">
        <x:f>IF(B13=0,"No target set",IF(E13=0,"No activity",IF(F13&lt;0,"Over plan","On track")))</x:f>
        <x:v>Over plan</x:v>
      </x:c>
    </x:row>
    <x:row r="14" ht="24" customHeight="1">
      <x:c r="A14" s="362" t="str">
        <x:v>Pet costs</x:v>
      </x:c>
      <x:c r="B14" s="416" t="n">
        <x:f>'Support - Budget Inputs'!E26</x:f>
        <x:v>47.48076923076923</x:v>
      </x:c>
      <x:c r="C14" s="416" t="n">
        <x:f>SUMIFS('Support - Ledger'!$D$5:$D$304,'Support - Ledger'!$F$5:$F$304,A14,'Support - Ledger'!$H$5:$H$304,$B$3,'Support - Ledger'!$E$5:$E$304,"Posted",'Support - Ledger'!$G$5:$G$304,"Include",'Support - Ledger'!$M$5:$M$304,"Verified")</x:f>
        <x:v>0</x:v>
      </x:c>
      <x:c r="D14" s="416" t="n">
        <x:f>SUMIFS('Support - Ledger'!$D$5:$D$304,'Support - Ledger'!$F$5:$F$304,A14,'Support - Ledger'!$H$5:$H$304,$B$3,'Support - Ledger'!$E$5:$E$304,"Pending",'Support - Ledger'!$G$5:$G$304,"Include",'Support - Ledger'!$M$5:$M$304,"Verified")</x:f>
        <x:v>0</x:v>
      </x:c>
      <x:c r="E14" s="416" t="n">
        <x:f>C14+D14</x:f>
        <x:v>0</x:v>
      </x:c>
      <x:c r="F14" s="416" t="n">
        <x:f>IF(B14=0,"",B14-E14)</x:f>
        <x:v>47.48076923076923</x:v>
      </x:c>
      <x:c r="G14" s="362" t="str">
        <x:f>IF(B14=0,"No target set",IF(E14=0,"No activity",IF(F14&lt;0,"Over plan","On track")))</x:f>
        <x:v>No activity</x:v>
      </x:c>
    </x:row>
    <x:row r="15" ht="24" customHeight="1">
      <x:c r="A15" s="362" t="str">
        <x:v>Electricity</x:v>
      </x:c>
      <x:c r="B15" s="416" t="n">
        <x:f>'Support - Budget Inputs'!E14</x:f>
        <x:v>15.166153846153845</x:v>
      </x:c>
      <x:c r="C15" s="416" t="n">
        <x:f>SUMIFS('Support - Ledger'!$D$5:$D$304,'Support - Ledger'!$F$5:$F$304,A15,'Support - Ledger'!$H$5:$H$304,$B$3,'Support - Ledger'!$E$5:$E$304,"Posted",'Support - Ledger'!$G$5:$G$304,"Include",'Support - Ledger'!$M$5:$M$304,"Verified")</x:f>
        <x:v>0</x:v>
      </x:c>
      <x:c r="D15" s="416" t="n">
        <x:f>SUMIFS('Support - Ledger'!$D$5:$D$304,'Support - Ledger'!$F$5:$F$304,A15,'Support - Ledger'!$H$5:$H$304,$B$3,'Support - Ledger'!$E$5:$E$304,"Pending",'Support - Ledger'!$G$5:$G$304,"Include",'Support - Ledger'!$M$5:$M$304,"Verified")</x:f>
        <x:v>0</x:v>
      </x:c>
      <x:c r="E15" s="416" t="n">
        <x:f>C15+D15</x:f>
        <x:v>0</x:v>
      </x:c>
      <x:c r="F15" s="416" t="n">
        <x:f>IF(B15=0,"",B15-E15)</x:f>
        <x:v>15.166153846153845</x:v>
      </x:c>
      <x:c r="G15" s="362" t="str">
        <x:f>IF(B15=0,"No target set",IF(E15=0,"No activity",IF(F15&lt;0,"Over plan","On track")))</x:f>
        <x:v>No activity</x:v>
      </x:c>
    </x:row>
    <x:row r="16" ht="24" customHeight="1">
      <x:c r="A16" s="362" t="str">
        <x:v>Spectrum internet</x:v>
      </x:c>
      <x:c r="B16" s="416" t="n">
        <x:f>'Support - Budget Inputs'!E16</x:f>
        <x:v>25.51846153846154</x:v>
      </x:c>
      <x:c r="C16" s="416" t="n">
        <x:f>SUMIFS('Support - Ledger'!$D$5:$D$304,'Support - Ledger'!$F$5:$F$304,A16,'Support - Ledger'!$H$5:$H$304,$B$3,'Support - Ledger'!$E$5:$E$304,"Posted",'Support - Ledger'!$G$5:$G$304,"Include",'Support - Ledger'!$M$5:$M$304,"Verified")</x:f>
        <x:v>0</x:v>
      </x:c>
      <x:c r="D16" s="416" t="n">
        <x:f>SUMIFS('Support - Ledger'!$D$5:$D$304,'Support - Ledger'!$F$5:$F$304,A16,'Support - Ledger'!$H$5:$H$304,$B$3,'Support - Ledger'!$E$5:$E$304,"Pending",'Support - Ledger'!$G$5:$G$304,"Include",'Support - Ledger'!$M$5:$M$304,"Verified")</x:f>
        <x:v>0</x:v>
      </x:c>
      <x:c r="E16" s="416" t="n">
        <x:f>C16+D16</x:f>
        <x:v>0</x:v>
      </x:c>
      <x:c r="F16" s="416" t="n">
        <x:f>IF(B16=0,"",B16-E16)</x:f>
        <x:v>25.51846153846154</x:v>
      </x:c>
      <x:c r="G16" s="362" t="str">
        <x:f>IF(B16=0,"No target set",IF(E16=0,"No activity",IF(F16&lt;0,"Over plan","On track")))</x:f>
        <x:v>No activity</x:v>
      </x:c>
    </x:row>
    <x:row r="17" ht="24" customHeight="1">
      <x:c r="A17" s="362" t="str">
        <x:v>Phone + Visible</x:v>
      </x:c>
      <x:c r="B17" s="416" t="n">
        <x:f>SUM('Support - Budget Inputs'!E15,'Support - Budget Inputs'!E17)</x:f>
        <x:v>21.692307692307693</x:v>
      </x:c>
      <x:c r="C17" s="416" t="n">
        <x:f>SUMIFS('Support - Ledger'!$D$5:$D$304,'Support - Ledger'!$F$5:$F$304,A17,'Support - Ledger'!$H$5:$H$304,$B$3,'Support - Ledger'!$E$5:$E$304,"Posted",'Support - Ledger'!$G$5:$G$304,"Include",'Support - Ledger'!$M$5:$M$304,"Verified")</x:f>
        <x:v>35</x:v>
      </x:c>
      <x:c r="D17" s="416" t="n">
        <x:f>SUMIFS('Support - Ledger'!$D$5:$D$304,'Support - Ledger'!$F$5:$F$304,A17,'Support - Ledger'!$H$5:$H$304,$B$3,'Support - Ledger'!$E$5:$E$304,"Pending",'Support - Ledger'!$G$5:$G$304,"Include",'Support - Ledger'!$M$5:$M$304,"Verified")</x:f>
        <x:v>0</x:v>
      </x:c>
      <x:c r="E17" s="416" t="n">
        <x:f>C17+D17</x:f>
        <x:v>35</x:v>
      </x:c>
      <x:c r="F17" s="416" t="n">
        <x:f>IF(B17=0,"",B17-E17)</x:f>
        <x:v>-13.307692307692307</x:v>
      </x:c>
      <x:c r="G17" s="362" t="str">
        <x:f>IF(B17=0,"No target set",IF(E17=0,"No activity",IF(F17&lt;0,"Over plan","On track")))</x:f>
        <x:v>Over plan</x:v>
      </x:c>
    </x:row>
    <x:row r="18" ht="24" customHeight="1">
      <x:c r="A18" s="362" t="str">
        <x:v>Subscriptions</x:v>
      </x:c>
      <x:c r="B18" s="416" t="n">
        <x:f>'Support - Budget Inputs'!E18</x:f>
        <x:v>11.256923076923076</x:v>
      </x:c>
      <x:c r="C18" s="416" t="n">
        <x:f>SUMIFS('Support - Ledger'!$D$5:$D$304,'Support - Ledger'!$F$5:$F$304,A18,'Support - Ledger'!$H$5:$H$304,$B$3,'Support - Ledger'!$E$5:$E$304,"Posted",'Support - Ledger'!$G$5:$G$304,"Include",'Support - Ledger'!$M$5:$M$304,"Verified")</x:f>
        <x:v>11.99</x:v>
      </x:c>
      <x:c r="D18" s="416" t="n">
        <x:f>SUMIFS('Support - Ledger'!$D$5:$D$304,'Support - Ledger'!$F$5:$F$304,A18,'Support - Ledger'!$H$5:$H$304,$B$3,'Support - Ledger'!$E$5:$E$304,"Pending",'Support - Ledger'!$G$5:$G$304,"Include",'Support - Ledger'!$M$5:$M$304,"Verified")</x:f>
        <x:v>0</x:v>
      </x:c>
      <x:c r="E18" s="416" t="n">
        <x:f>C18+D18</x:f>
        <x:v>11.99</x:v>
      </x:c>
      <x:c r="F18" s="416" t="n">
        <x:f>IF(B18=0,"",B18-E18)</x:f>
        <x:v>-0.7330769230769238</x:v>
      </x:c>
      <x:c r="G18" s="362" t="str">
        <x:f>IF(B18=0,"No target set",IF(E18=0,"No activity",IF(F18&lt;0,"Over plan","On track")))</x:f>
        <x:v>Over plan</x:v>
      </x:c>
    </x:row>
    <x:row r="19" ht="24" customHeight="1">
      <x:c r="A19" s="362" t="str">
        <x:v>Automotive</x:v>
      </x:c>
      <x:c r="B19" s="416" t="n">
        <x:f>0</x:f>
        <x:v>0</x:v>
      </x:c>
      <x:c r="C19" s="416" t="n">
        <x:f>SUMIFS('Support - Ledger'!$D$5:$D$304,'Support - Ledger'!$F$5:$F$304,A19,'Support - Ledger'!$H$5:$H$304,$B$3,'Support - Ledger'!$E$5:$E$304,"Posted",'Support - Ledger'!$G$5:$G$304,"Include",'Support - Ledger'!$M$5:$M$304,"Verified")</x:f>
        <x:v>3</x:v>
      </x:c>
      <x:c r="D19" s="416" t="n">
        <x:f>SUMIFS('Support - Ledger'!$D$5:$D$304,'Support - Ledger'!$F$5:$F$304,A19,'Support - Ledger'!$H$5:$H$304,$B$3,'Support - Ledger'!$E$5:$E$304,"Pending",'Support - Ledger'!$G$5:$G$304,"Include",'Support - Ledger'!$M$5:$M$304,"Verified")</x:f>
        <x:v>2.5</x:v>
      </x:c>
      <x:c r="E19" s="416" t="n">
        <x:f>C19+D19</x:f>
        <x:v>5.5</x:v>
      </x:c>
      <x:c r="F19" s="416" t="str">
        <x:f>IF(B19=0,"",B19-E19)</x:f>
      </x:c>
      <x:c r="G19" s="362" t="str">
        <x:f>IF(B19=0,"No target set",IF(E19=0,"No activity",IF(F19&lt;0,"Over plan","On track")))</x:f>
        <x:v>No target set</x:v>
      </x:c>
    </x:row>
    <x:row r="20" ht="24" customHeight="1">
      <x:c r="A20" s="362" t="str">
        <x:v>Travel / cruise</x:v>
      </x:c>
      <x:c r="B20" s="416" t="n">
        <x:f>0</x:f>
        <x:v>0</x:v>
      </x:c>
      <x:c r="C20" s="416" t="n">
        <x:f>SUMIFS('Support - Ledger'!$D$5:$D$304,'Support - Ledger'!$F$5:$F$304,A20,'Support - Ledger'!$H$5:$H$304,$B$3,'Support - Ledger'!$E$5:$E$304,"Posted",'Support - Ledger'!$G$5:$G$304,"Include",'Support - Ledger'!$M$5:$M$304,"Verified")</x:f>
        <x:v>0.18</x:v>
      </x:c>
      <x:c r="D20" s="416" t="n">
        <x:f>SUMIFS('Support - Ledger'!$D$5:$D$304,'Support - Ledger'!$F$5:$F$304,A20,'Support - Ledger'!$H$5:$H$304,$B$3,'Support - Ledger'!$E$5:$E$304,"Pending",'Support - Ledger'!$G$5:$G$304,"Include",'Support - Ledger'!$M$5:$M$304,"Verified")</x:f>
        <x:v>0</x:v>
      </x:c>
      <x:c r="E20" s="416" t="n">
        <x:f>C20+D20</x:f>
        <x:v>0.18</x:v>
      </x:c>
      <x:c r="F20" s="416" t="str">
        <x:f>IF(B20=0,"",B20-E20)</x:f>
      </x:c>
      <x:c r="G20" s="362" t="str">
        <x:f>IF(B20=0,"No target set",IF(E20=0,"No activity",IF(F20&lt;0,"Over plan","On track")))</x:f>
        <x:v>No target set</x:v>
      </x:c>
    </x:row>
    <x:row r="21" ht="24" customHeight="1">
      <x:c r="A21" s="362" t="str">
        <x:v>Education / school supplies</x:v>
      </x:c>
      <x:c r="B21" s="416" t="n">
        <x:f>0</x:f>
        <x:v>0</x:v>
      </x:c>
      <x:c r="C21" s="416" t="n">
        <x:f>SUMIFS('Support - Ledger'!$D$5:$D$304,'Support - Ledger'!$F$5:$F$304,A21,'Support - Ledger'!$H$5:$H$304,$B$3,'Support - Ledger'!$E$5:$E$304,"Posted",'Support - Ledger'!$G$5:$G$304,"Include",'Support - Ledger'!$M$5:$M$304,"Verified")</x:f>
        <x:v>0</x:v>
      </x:c>
      <x:c r="D21" s="416" t="n">
        <x:f>SUMIFS('Support - Ledger'!$D$5:$D$304,'Support - Ledger'!$F$5:$F$304,A21,'Support - Ledger'!$H$5:$H$304,$B$3,'Support - Ledger'!$E$5:$E$304,"Pending",'Support - Ledger'!$G$5:$G$304,"Include",'Support - Ledger'!$M$5:$M$304,"Verified")</x:f>
        <x:v>0</x:v>
      </x:c>
      <x:c r="E21" s="416" t="n">
        <x:f>C21+D21</x:f>
        <x:v>0</x:v>
      </x:c>
      <x:c r="F21" s="416" t="str">
        <x:f>IF(B21=0,"",B21-E21)</x:f>
      </x:c>
      <x:c r="G21" s="362" t="str">
        <x:f>IF(B21=0,"No target set",IF(E21=0,"No activity",IF(F21&lt;0,"Over plan","On track")))</x:f>
        <x:v>No target set</x:v>
      </x:c>
    </x:row>
    <x:row r="22">
      <x:c r="A22" s="362"/>
      <x:c r="B22" s="416"/>
      <x:c r="C22" s="416"/>
      <x:c r="D22" s="416"/>
      <x:c r="E22" s="416"/>
      <x:c r="F22" s="416"/>
      <x:c r="G22" s="362"/>
    </x:row>
    <x:row r="23" ht="27" customHeight="1">
      <x:c r="A23" s="417" t="str">
        <x:v>All tracked spending</x:v>
      </x:c>
      <x:c r="B23" s="418" t="n">
        <x:f>SUM(B6:B21)</x:f>
        <x:v>476.6607692307693</x:v>
      </x:c>
      <x:c r="C23" s="418" t="n">
        <x:f>SUM(C6:C21)</x:f>
        <x:v>447.99000000000007</x:v>
      </x:c>
      <x:c r="D23" s="418" t="n">
        <x:f>SUM(D6:D21)</x:f>
        <x:v>2.5</x:v>
      </x:c>
      <x:c r="E23" s="418" t="n">
        <x:f>SUM(E6:E21)</x:f>
        <x:v>450.49000000000007</x:v>
      </x:c>
      <x:c r="F23" s="418" t="n">
        <x:f>B23-E23</x:f>
        <x:v>26.170769230769224</x:v>
      </x:c>
      <x:c r="G23" s="417"/>
    </x:row>
    <x:row r="24">
      <x:c r="A24" s="362"/>
      <x:c r="B24" s="362"/>
      <x:c r="C24" s="362"/>
      <x:c r="D24" s="362"/>
      <x:c r="E24" s="362"/>
      <x:c r="F24" s="362"/>
      <x:c r="G24" s="362"/>
    </x:row>
    <x:row r="25">
      <x:c r="A25" s="413" t="str">
        <x:v>Transfer confirmation belongs in History after the following Tuesday’s account screens arrive. Keeping it out of this sheet makes this page one thing only: this Tuesday–Monday’s new-purchase limits.</x:v>
      </x:c>
      <x:c r="B25" s="413"/>
      <x:c r="C25" s="413"/>
      <x:c r="D25" s="413"/>
      <x:c r="E25" s="413"/>
      <x:c r="F25" s="413"/>
      <x:c r="G25" s="413"/>
    </x:row>
    <x:row r="26">
      <x:c r="A26" s="413"/>
      <x:c r="B26" s="413"/>
      <x:c r="C26" s="413"/>
      <x:c r="D26" s="413"/>
      <x:c r="E26" s="413"/>
      <x:c r="F26" s="413"/>
      <x:c r="G26" s="413"/>
    </x:row>
  </x:sheetData>
  <x:mergeCells>
    <x:mergeCell ref="A1:G1"/>
    <x:mergeCell ref="A2:G2"/>
    <x:mergeCell ref="A25:G26"/>
  </x:mergeCells>
  <x:conditionalFormatting sqref="F6:F23">
    <x:cfRule type="cellIs" dxfId="15" priority="1" operator="lessThan">
      <x:formula>0</x:formula>
    </x:cfRule>
  </x:conditionalFormatting>
  <x:conditionalFormatting sqref="G6:G21">
    <x:cfRule type="containsText" dxfId="16" priority="2" operator="containsText" text="Over plan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6B4F9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34" hidden="0" customWidth="1"/>
    <x:col min="4" max="4" width="26" hidden="0" customWidth="1"/>
    <x:col min="5" max="5" width="18" hidden="0" customWidth="1"/>
    <x:col min="6" max="6" width="34" hidden="0" customWidth="1"/>
  </x:cols>
  <x:sheetData>
    <x:row r="1" ht="27" customHeight="1">
      <x:c r="A1" s="443" t="str">
        <x:v>Money Plan</x:v>
      </x:c>
      <x:c r="B1" s="443"/>
      <x:c r="C1" s="443"/>
      <x:c r="D1" s="443"/>
      <x:c r="E1" s="443"/>
      <x:c r="F1" s="443"/>
    </x:row>
    <x:row r="2" ht="28" customHeight="1">
      <x:c r="A2" s="377" t="str">
        <x:v>Use this ongoing guide after the live Tuesday Review. It reflects the Sep. 9 import inputs; the current rent contribution is calculated in Tuesday Review and recorded in Savings &amp; Debt.</x:v>
      </x:c>
      <x:c r="B2" s="377"/>
      <x:c r="C2" s="377"/>
      <x:c r="D2" s="377"/>
      <x:c r="E2" s="377"/>
      <x:c r="F2" s="377"/>
    </x:row>
    <x:row r="3">
      <x:c r="A3" s="362"/>
      <x:c r="B3" s="362"/>
      <x:c r="C3" s="362"/>
      <x:c r="D3" s="362"/>
      <x:c r="E3" s="362"/>
      <x:c r="F3" s="362"/>
    </x:row>
    <x:row r="4" ht="23" customHeight="1">
      <x:c r="A4" s="367" t="str">
        <x:v>Payday allocation</x:v>
      </x:c>
      <x:c r="B4" s="368" t="str">
        <x:v>Weekly amount</x:v>
      </x:c>
      <x:c r="C4" s="368" t="str">
        <x:v>How it is handled</x:v>
      </x:c>
      <x:c r="D4" s="369" t="str">
        <x:v>Status</x:v>
      </x:c>
      <x:c r="E4" s="362"/>
      <x:c r="F4" s="362"/>
    </x:row>
    <x:row r="5" ht="38" customHeight="1">
      <x:c r="A5" s="362" t="str">
        <x:v>Rent reserve — maximum</x:v>
      </x:c>
      <x:c r="B5" s="416" t="n">
        <x:f>'Support - Budget Inputs'!E12</x:f>
        <x:v>300</x:v>
      </x:c>
      <x:c r="C5" s="362" t="str">
        <x:v>Use only verified Wells capacity after required actions</x:v>
      </x:c>
      <x:c r="D5" s="362" t="str">
        <x:v>Actual contribution is recorded in Savings &amp; Debt; no catch-up is assumed</x:v>
      </x:c>
      <x:c r="E5" s="362"/>
      <x:c r="F5" s="362"/>
    </x:row>
    <x:row r="6" ht="23" customHeight="1">
      <x:c r="A6" s="362" t="str">
        <x:v>Auto loan</x:v>
      </x:c>
      <x:c r="B6" s="416" t="n">
        <x:f>'Support - Budget Inputs'!E13</x:f>
        <x:v>172.26230769230767</x:v>
      </x:c>
      <x:c r="C6" s="362" t="str">
        <x:v>Keep available for monthly payment</x:v>
      </x:c>
      <x:c r="D6" s="362" t="str">
        <x:v>Formula from weekly budget</x:v>
      </x:c>
      <x:c r="E6" s="362"/>
      <x:c r="F6" s="362"/>
    </x:row>
    <x:row r="7" ht="23" customHeight="1">
      <x:c r="A7" s="362" t="str">
        <x:v>Electricity</x:v>
      </x:c>
      <x:c r="B7" s="416" t="n">
        <x:f>'Support - Budget Inputs'!E14</x:f>
        <x:v>15.166153846153845</x:v>
      </x:c>
      <x:c r="C7" s="362" t="str">
        <x:v>Keep available</x:v>
      </x:c>
      <x:c r="D7" s="362" t="str">
        <x:v>Formula from weekly budget</x:v>
      </x:c>
      <x:c r="E7" s="362"/>
      <x:c r="F7" s="362"/>
    </x:row>
    <x:row r="8" ht="23" customHeight="1">
      <x:c r="A8" s="362" t="str">
        <x:v>AT&amp;T + Visible</x:v>
      </x:c>
      <x:c r="B8" s="416" t="n">
        <x:f>SUM('Support - Budget Inputs'!E15,'Support - Budget Inputs'!E17)</x:f>
        <x:v>21.692307692307693</x:v>
      </x:c>
      <x:c r="C8" s="362" t="str">
        <x:v>Keep available</x:v>
      </x:c>
      <x:c r="D8" s="362" t="str">
        <x:v>Formula from weekly budget</x:v>
      </x:c>
      <x:c r="E8" s="362"/>
      <x:c r="F8" s="362"/>
    </x:row>
    <x:row r="9" ht="23" customHeight="1">
      <x:c r="A9" s="362" t="str">
        <x:v>Spectrum internet</x:v>
      </x:c>
      <x:c r="B9" s="416" t="n">
        <x:f>'Support - Budget Inputs'!E16</x:f>
        <x:v>25.51846153846154</x:v>
      </x:c>
      <x:c r="C9" s="362" t="str">
        <x:v>Keep available</x:v>
      </x:c>
      <x:c r="D9" s="362" t="str">
        <x:v>Formula from weekly budget</x:v>
      </x:c>
      <x:c r="E9" s="362"/>
      <x:c r="F9" s="362"/>
    </x:row>
    <x:row r="10" ht="23" customHeight="1">
      <x:c r="A10" s="362" t="str">
        <x:v>Subscriptions</x:v>
      </x:c>
      <x:c r="B10" s="416" t="n">
        <x:f>'Support - Budget Inputs'!E18</x:f>
        <x:v>11.256923076923076</x:v>
      </x:c>
      <x:c r="C10" s="362" t="str">
        <x:v>Keep available</x:v>
      </x:c>
      <x:c r="D10" s="362" t="str">
        <x:v>Formula from weekly budget</x:v>
      </x:c>
      <x:c r="E10" s="362"/>
      <x:c r="F10" s="362"/>
    </x:row>
    <x:row r="11" ht="23" customHeight="1">
      <x:c r="A11" s="362" t="str">
        <x:v>Games / app purchases</x:v>
      </x:c>
      <x:c r="B11" s="416" t="n">
        <x:f>'Support - Budget Inputs'!E19</x:f>
        <x:v>50</x:v>
      </x:c>
      <x:c r="C11" s="362" t="str">
        <x:v>Hard weekly cap</x:v>
      </x:c>
      <x:c r="D11" s="362" t="str">
        <x:v>Formula from weekly budget</x:v>
      </x:c>
      <x:c r="E11" s="362"/>
      <x:c r="F11" s="362"/>
    </x:row>
    <x:row r="12" ht="23" customHeight="1">
      <x:c r="A12" s="362" t="str">
        <x:v>Starbucks</x:v>
      </x:c>
      <x:c r="B12" s="416" t="n">
        <x:f>'Support - Budget Inputs'!E28</x:f>
        <x:v>30</x:v>
      </x:c>
      <x:c r="C12" s="362" t="str">
        <x:v>Hard weekly cap</x:v>
      </x:c>
      <x:c r="D12" s="362" t="str">
        <x:v>Formula from weekly budget</x:v>
      </x:c>
      <x:c r="E12" s="362"/>
      <x:c r="F12" s="362"/>
    </x:row>
    <x:row r="13" ht="23" customHeight="1">
      <x:c r="A13" s="362" t="str">
        <x:v>365 Market / work snacks</x:v>
      </x:c>
      <x:c r="B13" s="416" t="n">
        <x:f>'Support - Budget Inputs'!E29</x:f>
        <x:v>10</x:v>
      </x:c>
      <x:c r="C13" s="362" t="str">
        <x:v>Hard weekly cap</x:v>
      </x:c>
      <x:c r="D13" s="362" t="str">
        <x:v>Formula from weekly budget</x:v>
      </x:c>
      <x:c r="E13" s="362"/>
      <x:c r="F13" s="362"/>
    </x:row>
    <x:row r="14" ht="23" customHeight="1">
      <x:c r="A14" s="362" t="str">
        <x:v>Shopping, personal care &amp; car washes</x:v>
      </x:c>
      <x:c r="B14" s="416" t="n">
        <x:f>'Support - Budget Inputs'!E30</x:f>
        <x:v>50</x:v>
      </x:c>
      <x:c r="C14" s="362" t="str">
        <x:v>Hard weekly cap</x:v>
      </x:c>
      <x:c r="D14" s="362" t="str">
        <x:v>Formula from weekly budget</x:v>
      </x:c>
      <x:c r="E14" s="362"/>
      <x:c r="F14" s="362"/>
    </x:row>
    <x:row r="15" ht="23" customHeight="1">
      <x:c r="A15" s="362" t="str">
        <x:v>PayPal promotional payoff</x:v>
      </x:c>
      <x:c r="B15" s="416" t="n">
        <x:f>'Support - Promo Detail'!F12</x:f>
        <x:v>148.616</x:v>
      </x:c>
      <x:c r="C15" s="362" t="str">
        <x:v>Pay weekly</x:v>
      </x:c>
      <x:c r="D15" s="362" t="str">
        <x:v>Formula from payoff plan</x:v>
      </x:c>
      <x:c r="E15" s="362"/>
      <x:c r="F15" s="362"/>
    </x:row>
    <x:row r="16" ht="23" customHeight="1">
      <x:c r="A16" s="362" t="str">
        <x:v>H-E-B groceries</x:v>
      </x:c>
      <x:c r="B16" s="416" t="n">
        <x:f>'Support - Budget Inputs'!E23</x:f>
        <x:v>79.77692307692307</x:v>
      </x:c>
      <x:c r="C16" s="362" t="str">
        <x:v>Use as weekly envelope</x:v>
      </x:c>
      <x:c r="D16" s="362" t="str">
        <x:v>Formula from weekly budget</x:v>
      </x:c>
      <x:c r="E16" s="362"/>
      <x:c r="F16" s="362"/>
    </x:row>
    <x:row r="17" ht="23" customHeight="1">
      <x:c r="A17" s="362" t="str">
        <x:v>DoorDash</x:v>
      </x:c>
      <x:c r="B17" s="416" t="n">
        <x:f>'Support - Budget Inputs'!E24</x:f>
        <x:v>25</x:v>
      </x:c>
      <x:c r="C17" s="362" t="str">
        <x:v>Hard weekly cap</x:v>
      </x:c>
      <x:c r="D17" s="362" t="str">
        <x:v>Formula from weekly budget</x:v>
      </x:c>
      <x:c r="E17" s="362"/>
      <x:c r="F17" s="362"/>
    </x:row>
    <x:row r="18" ht="23" customHeight="1">
      <x:c r="A18" s="362" t="str">
        <x:v>Fuel</x:v>
      </x:c>
      <x:c r="B18" s="416" t="n">
        <x:f>'Support - Budget Inputs'!E25</x:f>
        <x:v>80.76923076923077</x:v>
      </x:c>
      <x:c r="C18" s="362" t="str">
        <x:v>Use as weekly envelope</x:v>
      </x:c>
      <x:c r="D18" s="362" t="str">
        <x:v>Formula from weekly budget</x:v>
      </x:c>
      <x:c r="E18" s="362"/>
      <x:c r="F18" s="362"/>
    </x:row>
    <x:row r="19" ht="30" customHeight="1">
      <x:c r="A19" s="362" t="str">
        <x:v>Pet care + Nationwide insurance</x:v>
      </x:c>
      <x:c r="B19" s="416" t="n">
        <x:f>'Support - Budget Inputs'!E26</x:f>
        <x:v>47.48076923076923</x:v>
      </x:c>
      <x:c r="C19" s="362" t="str">
        <x:v>Use as weekly envelope</x:v>
      </x:c>
      <x:c r="D19" s="362" t="str">
        <x:v>Includes $48.27/month Nationwide pet insurance</x:v>
      </x:c>
      <x:c r="E19" s="362"/>
      <x:c r="F19" s="362"/>
    </x:row>
    <x:row r="20" ht="23" customHeight="1">
      <x:c r="A20" s="362" t="str">
        <x:v>RBC loan + life insurance</x:v>
      </x:c>
      <x:c r="B20" s="416" t="n">
        <x:f>'Support - Budget Inputs'!C40</x:f>
        <x:v>30.715592307692305</x:v>
      </x:c>
      <x:c r="C20" s="362" t="str">
        <x:v>Keep available</x:v>
      </x:c>
      <x:c r="D20" s="362" t="str">
        <x:v>Converted CAD amount</x:v>
      </x:c>
      <x:c r="E20" s="362"/>
      <x:c r="F20" s="362"/>
    </x:row>
    <x:row r="21" ht="38" customHeight="1">
      <x:c r="A21" s="362" t="str">
        <x:v>Fidelity + PayPal savings buckets</x:v>
      </x:c>
      <x:c r="B21" s="416" t="n">
        <x:f>'Support - Budget Inputs'!E27</x:f>
        <x:v>403.36</x:v>
      </x:c>
      <x:c r="C21" s="362" t="str">
        <x:v>$75 Fidelity plus $85 cruise, $193.36 tuition, and $50 future fund automatically</x:v>
      </x:c>
      <x:c r="D21" s="362" t="str">
        <x:v>Formula from weekly budget</x:v>
      </x:c>
      <x:c r="E21" s="362"/>
      <x:c r="F21" s="362"/>
    </x:row>
    <x:row r="22" ht="23" customHeight="1">
      <x:c r="A22" s="362" t="str">
        <x:v>Vapes</x:v>
      </x:c>
      <x:c r="B22" s="416" t="n">
        <x:f>'Support - Budget Inputs'!E31</x:f>
        <x:v>30</x:v>
      </x:c>
      <x:c r="C22" s="362" t="str">
        <x:v>Hard weekly cap</x:v>
      </x:c>
      <x:c r="D22" s="362" t="str">
        <x:v>Formula from weekly budget</x:v>
      </x:c>
      <x:c r="E22" s="362"/>
      <x:c r="F22" s="362"/>
    </x:row>
    <x:row r="23" ht="26" customHeight="1">
      <x:c r="A23" s="417" t="str">
        <x:v>Total weekly allocation</x:v>
      </x:c>
      <x:c r="B23" s="444" t="n">
        <x:f>SUM(B5:B22)</x:f>
        <x:v>1531.6146692307693</x:v>
      </x:c>
      <x:c r="C23" s="417"/>
      <x:c r="D23" s="417"/>
      <x:c r="E23" s="362"/>
      <x:c r="F23" s="362"/>
    </x:row>
    <x:row r="24">
      <x:c r="A24" s="362"/>
      <x:c r="B24" s="445"/>
      <x:c r="C24" s="362"/>
      <x:c r="D24" s="362"/>
      <x:c r="E24" s="362"/>
      <x:c r="F24" s="362"/>
    </x:row>
    <x:row r="25" ht="25" customHeight="1">
      <x:c r="A25" s="362" t="str">
        <x:v>Total weekly household income</x:v>
      </x:c>
      <x:c r="B25" s="445" t="n">
        <x:f>'Support - Budget Inputs'!D8</x:f>
        <x:v>1563.37</x:v>
      </x:c>
      <x:c r="C25" s="362"/>
      <x:c r="D25" s="362"/>
      <x:c r="E25" s="362"/>
      <x:c r="F25" s="362"/>
    </x:row>
    <x:row r="26" ht="25" customHeight="1">
      <x:c r="A26" s="401" t="str">
        <x:v>Personal-safe income — included in household total</x:v>
      </x:c>
      <x:c r="B26" s="446" t="n">
        <x:f>'Support - Budget Inputs'!D7</x:f>
        <x:v>220</x:v>
      </x:c>
      <x:c r="C26" s="401"/>
      <x:c r="D26" s="401"/>
      <x:c r="E26" s="362"/>
      <x:c r="F26" s="362"/>
    </x:row>
    <x:row r="27" ht="25" customHeight="1">
      <x:c r="A27" s="393" t="str">
        <x:v>Banking income available for Wells plan</x:v>
      </x:c>
      <x:c r="B27" s="447" t="n">
        <x:f>B25-B26</x:f>
        <x:v>1343.37</x:v>
      </x:c>
      <x:c r="C27" s="393"/>
      <x:c r="D27" s="393"/>
      <x:c r="E27" s="362"/>
      <x:c r="F27" s="362"/>
    </x:row>
    <x:row r="28" ht="25" customHeight="1">
      <x:c r="A28" s="436" t="str">
        <x:v>Weekly buffer / shortfall from banking income</x:v>
      </x:c>
      <x:c r="B28" s="448" t="n">
        <x:f>B27-B23</x:f>
        <x:v>-188.24466923076943</x:v>
      </x:c>
      <x:c r="C28" s="438"/>
      <x:c r="D28" s="439"/>
      <x:c r="E28" s="362"/>
      <x:c r="F28" s="362"/>
    </x:row>
    <x:row r="29">
      <x:c r="A29" s="362"/>
      <x:c r="B29" s="362"/>
      <x:c r="C29" s="362"/>
      <x:c r="D29" s="362"/>
      <x:c r="E29" s="362"/>
      <x:c r="F29" s="362"/>
    </x:row>
    <x:row r="30" ht="22" customHeight="1">
      <x:c r="A30" s="378" t="str">
        <x:v>How this page fits the weekly process</x:v>
      </x:c>
      <x:c r="B30" s="378"/>
      <x:c r="C30" s="378"/>
      <x:c r="D30" s="378"/>
      <x:c r="E30" s="378"/>
      <x:c r="F30" s="378"/>
    </x:row>
    <x:row r="31">
      <x:c r="A31" s="440" t="str">
        <x:v>1. Fund the plan</x:v>
      </x:c>
      <x:c r="B31" s="350" t="str">
        <x:v>The allocation is the weekly funding guide; it is not a list of immediate bills due.</x:v>
      </x:c>
      <x:c r="C31" s="350"/>
      <x:c r="D31" s="350"/>
      <x:c r="E31" s="350"/>
      <x:c r="F31" s="366"/>
    </x:row>
    <x:row r="32">
      <x:c r="A32" s="441" t="str">
        <x:v>2. Spend within limits</x:v>
      </x:c>
      <x:c r="B32" s="353" t="str">
        <x:v>Use This Week for actual purchases and pending charges.</x:v>
      </x:c>
      <x:c r="C32" s="353"/>
      <x:c r="D32" s="353"/>
      <x:c r="E32" s="353"/>
      <x:c r="F32" s="354"/>
    </x:row>
    <x:row r="33">
      <x:c r="A33" s="441" t="str">
        <x:v>3. Execute payments</x:v>
      </x:c>
      <x:c r="B33" s="353" t="str">
        <x:v>Create or replace Tuesday Review when the next payment plan is due.</x:v>
      </x:c>
      <x:c r="C33" s="353"/>
      <x:c r="D33" s="353"/>
      <x:c r="E33" s="353"/>
      <x:c r="F33" s="354"/>
    </x:row>
    <x:row r="34">
      <x:c r="A34" s="442" t="str">
        <x:v>4. Preserve history</x:v>
      </x:c>
      <x:c r="B34" s="359" t="str">
        <x:v>History receives the verified weekly result; do not overwrite prior weeks.</x:v>
      </x:c>
      <x:c r="C34" s="359"/>
      <x:c r="D34" s="359"/>
      <x:c r="E34" s="359"/>
      <x:c r="F34" s="360"/>
    </x:row>
    <x:row r="35">
      <x:c r="A35" s="362"/>
      <x:c r="B35" s="362"/>
      <x:c r="C35" s="362"/>
      <x:c r="D35" s="362"/>
      <x:c r="E35" s="362"/>
      <x:c r="F35" s="362"/>
    </x:row>
    <x:row r="36">
      <x:c r="A36" s="362"/>
      <x:c r="B36" s="362"/>
      <x:c r="C36" s="362"/>
      <x:c r="D36" s="362"/>
      <x:c r="E36" s="362"/>
      <x:c r="F36" s="362"/>
    </x:row>
    <x:row r="37">
      <x:c r="A37" s="362"/>
      <x:c r="B37" s="362"/>
      <x:c r="C37" s="362"/>
      <x:c r="D37" s="362"/>
      <x:c r="E37" s="362"/>
      <x:c r="F37" s="362"/>
    </x:row>
    <x:row r="38">
      <x:c r="A38" s="362"/>
      <x:c r="B38" s="362"/>
      <x:c r="C38" s="362"/>
      <x:c r="D38" s="362"/>
      <x:c r="E38" s="362"/>
      <x:c r="F38" s="362"/>
    </x:row>
    <x:row r="39">
      <x:c r="A39" s="362"/>
      <x:c r="B39" s="362"/>
      <x:c r="C39" s="362"/>
      <x:c r="D39" s="362"/>
      <x:c r="E39" s="362"/>
      <x:c r="F39" s="362"/>
    </x:row>
    <x:row r="40">
      <x:c r="A40" s="362"/>
      <x:c r="B40" s="362"/>
      <x:c r="C40" s="362"/>
      <x:c r="D40" s="362"/>
      <x:c r="E40" s="362"/>
      <x:c r="F40" s="362"/>
    </x:row>
    <x:row r="41">
      <x:c r="A41" s="362"/>
      <x:c r="B41" s="362"/>
      <x:c r="C41" s="362"/>
      <x:c r="D41" s="362"/>
      <x:c r="E41" s="362"/>
      <x:c r="F41" s="362"/>
    </x:row>
    <x:row r="42">
      <x:c r="A42" s="362"/>
      <x:c r="B42" s="362"/>
      <x:c r="C42" s="362"/>
      <x:c r="D42" s="362"/>
      <x:c r="E42" s="362"/>
      <x:c r="F42" s="362"/>
    </x:row>
  </x:sheetData>
  <x:mergeCells>
    <x:mergeCell ref="A1:F1"/>
    <x:mergeCell ref="A2:F2"/>
    <x:mergeCell ref="A30:F30"/>
    <x:mergeCell ref="B31:F31"/>
    <x:mergeCell ref="B32:F32"/>
    <x:mergeCell ref="B33:F33"/>
    <x:mergeCell ref="B34:F34"/>
  </x:mergeCells>
  <x:conditionalFormatting sqref="B28:B28">
    <x:cfRule type="cellIs" dxfId="9" priority="1" operator="lessThan">
      <x:formula>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29" hidden="0" customWidth="1"/>
    <x:col min="5" max="5" width="22" hidden="0" customWidth="1"/>
    <x:col min="6" max="6" width="34" hidden="0" customWidth="1"/>
  </x:cols>
  <x:sheetData>
    <x:row r="1" ht="27" customHeight="1">
      <x:c r="A1" s="495" t="str">
        <x:v>Savings &amp; Debt</x:v>
      </x:c>
      <x:c r="B1" s="495"/>
      <x:c r="C1" s="495"/>
      <x:c r="D1" s="495"/>
      <x:c r="E1" s="495"/>
      <x:c r="F1" s="495"/>
    </x:row>
    <x:row r="2" ht="28" customHeight="1">
      <x:c r="A2" s="377" t="str">
        <x:v>Read this as three questions: Is savings protected? Is next month’s rent funded from real cash? Are the priority debts on track?</x:v>
      </x:c>
      <x:c r="B2" s="377"/>
      <x:c r="C2" s="377"/>
      <x:c r="D2" s="377"/>
      <x:c r="E2" s="377"/>
      <x:c r="F2" s="377"/>
    </x:row>
    <x:row r="3">
      <x:c r="A3" s="362"/>
      <x:c r="B3" s="362"/>
      <x:c r="C3" s="362"/>
      <x:c r="D3" s="362"/>
      <x:c r="E3" s="362"/>
      <x:c r="F3" s="362"/>
    </x:row>
    <x:row r="4" ht="22" customHeight="1">
      <x:c r="A4" s="378" t="str">
        <x:v>Savings health</x:v>
      </x:c>
      <x:c r="B4" s="378"/>
      <x:c r="C4" s="378"/>
      <x:c r="D4" s="378"/>
      <x:c r="E4" s="378"/>
      <x:c r="F4" s="378"/>
    </x:row>
    <x:row r="5" ht="27" customHeight="1">
      <x:c r="A5" s="364" t="str">
        <x:v>Wealthfront available now</x:v>
      </x:c>
      <x:c r="B5" s="496" t="n">
        <x:f>'Support - Account Snapshots'!F6</x:f>
        <x:v>11847.64</x:v>
      </x:c>
      <x:c r="C5" s="474" t="str">
        <x:v>Next rent due</x:v>
      </x:c>
      <x:c r="D5" s="501" t="n">
        <x:f>B34</x:f>
        <x:v>46296</x:v>
      </x:c>
      <x:c r="E5" s="362"/>
      <x:c r="F5" s="362"/>
    </x:row>
    <x:row r="6" ht="27" customHeight="1">
      <x:c r="A6" s="476" t="str">
        <x:v>Personal safe cash</x:v>
      </x:c>
      <x:c r="B6" s="497" t="n">
        <x:f>'Support - Account Snapshots'!F7</x:f>
        <x:v>220</x:v>
      </x:c>
      <x:c r="C6" s="476" t="str">
        <x:v>Rent due estimate</x:v>
      </x:c>
      <x:c r="D6" s="497" t="n">
        <x:f>B35</x:f>
        <x:v>1169.46</x:v>
      </x:c>
      <x:c r="E6" s="362"/>
      <x:c r="F6" s="362"/>
    </x:row>
    <x:row r="7" ht="27" customHeight="1">
      <x:c r="A7" s="478" t="str">
        <x:v>Confirmed liquid savings</x:v>
      </x:c>
      <x:c r="B7" s="498" t="n">
        <x:f>SUM(B5:B6)</x:f>
        <x:v>12067.64</x:v>
      </x:c>
      <x:c r="C7" s="476" t="str">
        <x:v>Tagged rent reserve</x:v>
      </x:c>
      <x:c r="D7" s="497" t="n">
        <x:f>B39</x:f>
        <x:v>178.49169230769235</x:v>
      </x:c>
      <x:c r="E7" s="362"/>
      <x:c r="F7" s="362"/>
    </x:row>
    <x:row r="8" ht="27" customHeight="1">
      <x:c r="A8" s="370" t="str">
        <x:v>13-week core-needs benchmark</x:v>
      </x:c>
      <x:c r="B8" s="499" t="n">
        <x:f>SUM('Support - Budget Inputs'!E12:E17,'Support - Budget Inputs'!E20:E23,'Support - Budget Inputs'!E25:E26)*13</x:f>
        <x:v>11985.970700000002</x:v>
      </x:c>
      <x:c r="C8" s="476" t="str">
        <x:v>Emergency draw if no more funding</x:v>
      </x:c>
      <x:c r="D8" s="497" t="n">
        <x:f>E36</x:f>
        <x:v>1021.5083076923077</x:v>
      </x:c>
      <x:c r="E8" s="362"/>
      <x:c r="F8" s="362"/>
    </x:row>
    <x:row r="9" ht="27" customHeight="1">
      <x:c r="A9" s="481" t="str">
        <x:v>Gap to core-needs benchmark</x:v>
      </x:c>
      <x:c r="B9" s="500" t="n">
        <x:f>B7-B8</x:f>
        <x:v>81.66929999999775</x:v>
      </x:c>
      <x:c r="C9" s="481" t="str">
        <x:v>Confirmed funding vs. monthly plan</x:v>
      </x:c>
      <x:c r="D9" s="500" t="n">
        <x:f>E34</x:f>
        <x:v>-1021.5083076923077</x:v>
      </x:c>
      <x:c r="E9" s="362"/>
      <x:c r="F9" s="362"/>
    </x:row>
    <x:row r="10">
      <x:c r="A10" s="362"/>
      <x:c r="B10" s="362"/>
      <x:c r="C10" s="362"/>
      <x:c r="D10" s="362"/>
      <x:c r="E10" s="362"/>
      <x:c r="F10" s="362"/>
    </x:row>
    <x:row r="11" ht="22" customHeight="1">
      <x:c r="A11" s="378" t="str">
        <x:v>Automatic savings — weekly transfers</x:v>
      </x:c>
      <x:c r="B11" s="378"/>
      <x:c r="C11" s="378"/>
      <x:c r="D11" s="378"/>
      <x:c r="E11" s="362"/>
      <x:c r="F11" s="362"/>
    </x:row>
    <x:row r="12" ht="24" customHeight="1">
      <x:c r="A12" s="367" t="str">
        <x:v>Item</x:v>
      </x:c>
      <x:c r="B12" s="368" t="str">
        <x:v>Weekly amount</x:v>
      </x:c>
      <x:c r="C12" s="368" t="str">
        <x:v>Weeks confirmed</x:v>
      </x:c>
      <x:c r="D12" s="369" t="str">
        <x:v>Saved since tracker began</x:v>
      </x:c>
      <x:c r="E12" s="362"/>
      <x:c r="F12" s="362"/>
    </x:row>
    <x:row r="13" ht="24" customHeight="1">
      <x:c r="A13" s="362" t="str">
        <x:v>Fidelity 401(k)</x:v>
      </x:c>
      <x:c r="B13" s="395" t="n">
        <x:v>75</x:v>
      </x:c>
      <x:c r="C13" s="396" t="n">
        <x:v>0</x:v>
      </x:c>
      <x:c r="D13" s="416" t="n">
        <x:f>B13*C13</x:f>
        <x:v>0</x:v>
      </x:c>
      <x:c r="E13" s="362"/>
      <x:c r="F13" s="362"/>
    </x:row>
    <x:row r="14" ht="24" customHeight="1">
      <x:c r="A14" s="362" t="str">
        <x:v>PayPal cruise fund</x:v>
      </x:c>
      <x:c r="B14" s="395" t="n">
        <x:v>85</x:v>
      </x:c>
      <x:c r="C14" s="396" t="n">
        <x:v>0</x:v>
      </x:c>
      <x:c r="D14" s="416" t="n">
        <x:f>B14*C14</x:f>
        <x:v>0</x:v>
      </x:c>
      <x:c r="E14" s="362"/>
      <x:c r="F14" s="362"/>
    </x:row>
    <x:row r="15" ht="24" customHeight="1">
      <x:c r="A15" s="362" t="str">
        <x:v>Del Mar tuition savings</x:v>
      </x:c>
      <x:c r="B15" s="395" t="n">
        <x:v>193.36</x:v>
      </x:c>
      <x:c r="C15" s="396" t="n">
        <x:v>0</x:v>
      </x:c>
      <x:c r="D15" s="416" t="n">
        <x:f>B15*C15</x:f>
        <x:v>0</x:v>
      </x:c>
      <x:c r="E15" s="362"/>
      <x:c r="F15" s="362"/>
    </x:row>
    <x:row r="16" ht="24" customHeight="1">
      <x:c r="A16" s="362" t="str">
        <x:v>Future-expenses fund</x:v>
      </x:c>
      <x:c r="B16" s="395" t="n">
        <x:v>50</x:v>
      </x:c>
      <x:c r="C16" s="396" t="n">
        <x:v>0</x:v>
      </x:c>
      <x:c r="D16" s="416" t="n">
        <x:f>B16*C16</x:f>
        <x:v>0</x:v>
      </x:c>
      <x:c r="E16" s="362"/>
      <x:c r="F16" s="362"/>
    </x:row>
    <x:row r="17" ht="24" customHeight="1">
      <x:c r="A17" s="483" t="str">
        <x:v>Total automatic savings</x:v>
      </x:c>
      <x:c r="B17" s="484" t="n">
        <x:f>SUM(B13:B16)</x:f>
        <x:v>403.36</x:v>
      </x:c>
      <x:c r="C17" s="484"/>
      <x:c r="D17" s="484" t="n">
        <x:f>SUM(D13:D16)</x:f>
        <x:v>0</x:v>
      </x:c>
      <x:c r="E17" s="362"/>
      <x:c r="F17" s="362"/>
    </x:row>
    <x:row r="18">
      <x:c r="A18" s="362"/>
      <x:c r="B18" s="362"/>
      <x:c r="C18" s="362"/>
      <x:c r="D18" s="362"/>
      <x:c r="E18" s="362"/>
      <x:c r="F18" s="362"/>
    </x:row>
    <x:row r="19" ht="22" customHeight="1">
      <x:c r="A19" s="378" t="str">
        <x:v>Priority debt payoff</x:v>
      </x:c>
      <x:c r="B19" s="378"/>
      <x:c r="C19" s="378"/>
      <x:c r="D19" s="378"/>
      <x:c r="E19" s="362"/>
      <x:c r="F19" s="362"/>
    </x:row>
    <x:row r="20" ht="27" customHeight="1">
      <x:c r="A20" s="364" t="str">
        <x:v>Active PayPal promo balance</x:v>
      </x:c>
      <x:c r="B20" s="473" t="n">
        <x:f>'Support - Promo Detail'!C11</x:f>
        <x:v>1318.93</x:v>
      </x:c>
      <x:c r="C20" s="462" t="str">
        <x:v>The weekly payoff is an expense paid from Wells, not savings. The detailed promo schedule is on Support - Promo Detail.</x:v>
      </x:c>
      <x:c r="D20" s="462"/>
      <x:c r="E20" s="362"/>
      <x:c r="F20" s="362"/>
    </x:row>
    <x:row r="21" ht="27" customHeight="1">
      <x:c r="A21" s="476" t="str">
        <x:v>Weekly payoff target</x:v>
      </x:c>
      <x:c r="B21" s="477" t="n">
        <x:f>'Support - Promo Detail'!F12</x:f>
        <x:v>148.616</x:v>
      </x:c>
      <x:c r="C21" s="462"/>
      <x:c r="D21" s="462"/>
      <x:c r="E21" s="362"/>
      <x:c r="F21" s="362"/>
    </x:row>
    <x:row r="22" ht="27" customHeight="1">
      <x:c r="A22" s="481" t="str">
        <x:v>First promo deadline</x:v>
      </x:c>
      <x:c r="B22" s="485" t="n">
        <x:f>'Support - Promo Detail'!B6</x:f>
        <x:v>46305</x:v>
      </x:c>
      <x:c r="C22" s="462"/>
      <x:c r="D22" s="462"/>
      <x:c r="E22" s="362"/>
      <x:c r="F22" s="362"/>
    </x:row>
    <x:row r="23">
      <x:c r="A23" s="362"/>
      <x:c r="B23" s="362"/>
      <x:c r="C23" s="362"/>
      <x:c r="D23" s="362"/>
      <x:c r="E23" s="362"/>
      <x:c r="F23" s="362"/>
    </x:row>
    <x:row r="24" ht="22" customHeight="1">
      <x:c r="A24" s="378" t="str">
        <x:v>Rent reserve — October</x:v>
      </x:c>
      <x:c r="B24" s="378"/>
      <x:c r="C24" s="378"/>
      <x:c r="D24" s="378"/>
      <x:c r="E24" s="378"/>
      <x:c r="F24" s="378"/>
    </x:row>
    <x:row r="25" ht="25" customHeight="1">
      <x:c r="A25" s="367" t="str">
        <x:v>Tuesday</x:v>
      </x:c>
      <x:c r="B25" s="368" t="str">
        <x:v>Normal cap</x:v>
      </x:c>
      <x:c r="C25" s="368" t="str">
        <x:v>Actual funded</x:v>
      </x:c>
      <x:c r="D25" s="368" t="str">
        <x:v>Variance</x:v>
      </x:c>
      <x:c r="E25" s="368" t="str">
        <x:v>Funding source</x:v>
      </x:c>
      <x:c r="F25" s="369" t="str">
        <x:v>Note</x:v>
      </x:c>
    </x:row>
    <x:row r="26" ht="25" customHeight="1">
      <x:c r="A26" s="486" t="n">
        <x:v>46274</x:v>
      </x:c>
      <x:c r="B26" s="487" t="n">
        <x:f>'Support - Budget Inputs'!$E$12</x:f>
        <x:v>300</x:v>
      </x:c>
      <x:c r="C26" s="365" t="n">
        <x:f>'2. Tuesday Review'!D13</x:f>
        <x:v>178.49169230769235</x:v>
      </x:c>
      <x:c r="D26" s="487" t="n">
        <x:f>C26-B26</x:f>
        <x:v>-121.50830769230765</x:v>
      </x:c>
      <x:c r="E26" s="350" t="str">
        <x:v>Wells cash capacity</x:v>
      </x:c>
      <x:c r="F26" s="366" t="str">
        <x:v>Calculated from verified Tuesday plan</x:v>
      </x:c>
    </x:row>
    <x:row r="27" ht="25" customHeight="1">
      <x:c r="A27" s="488" t="n">
        <x:v>46281</x:v>
      </x:c>
      <x:c r="B27" s="489" t="n">
        <x:f>'Support - Budget Inputs'!$E$12</x:f>
        <x:v>300</x:v>
      </x:c>
      <x:c r="C27" s="490"/>
      <x:c r="D27" s="489" t="n">
        <x:f>C27-B27</x:f>
        <x:v>-300</x:v>
      </x:c>
      <x:c r="E27" s="353" t="str">
        <x:v>Enter after review</x:v>
      </x:c>
      <x:c r="F27" s="354" t="str">
        <x:v>No catch-up assumed</x:v>
      </x:c>
    </x:row>
    <x:row r="28" ht="25" customHeight="1">
      <x:c r="A28" s="488" t="n">
        <x:v>46288</x:v>
      </x:c>
      <x:c r="B28" s="489" t="n">
        <x:f>'Support - Budget Inputs'!$E$12</x:f>
        <x:v>300</x:v>
      </x:c>
      <x:c r="C28" s="490"/>
      <x:c r="D28" s="489" t="n">
        <x:f>C28-B28</x:f>
        <x:v>-300</x:v>
      </x:c>
      <x:c r="E28" s="353" t="str">
        <x:v>Enter after review</x:v>
      </x:c>
      <x:c r="F28" s="354" t="str">
        <x:v>No catch-up assumed</x:v>
      </x:c>
    </x:row>
    <x:row r="29" ht="25" customHeight="1">
      <x:c r="A29" s="491" t="n">
        <x:v>46295</x:v>
      </x:c>
      <x:c r="B29" s="492" t="n">
        <x:f>'Support - Budget Inputs'!$E$12</x:f>
        <x:v>300</x:v>
      </x:c>
      <x:c r="C29" s="493"/>
      <x:c r="D29" s="492" t="n">
        <x:f>C29-B29</x:f>
        <x:v>-300</x:v>
      </x:c>
      <x:c r="E29" s="359" t="str">
        <x:v>Enter after review</x:v>
      </x:c>
      <x:c r="F29" s="360" t="str">
        <x:v>No catch-up assumed</x:v>
      </x:c>
    </x:row>
    <x:row r="30" ht="25" customHeight="1">
      <x:c r="A30" s="483" t="str">
        <x:v>Total before October rent</x:v>
      </x:c>
      <x:c r="B30" s="484" t="n">
        <x:f>SUM(B26:B29)</x:f>
        <x:v>1200</x:v>
      </x:c>
      <x:c r="C30" s="484" t="n">
        <x:f>SUM(C26:C29)</x:f>
        <x:v>178.49169230769235</x:v>
      </x:c>
      <x:c r="D30" s="484" t="n">
        <x:f>C30-B30</x:f>
        <x:v>-1021.5083076923077</x:v>
      </x:c>
      <x:c r="E30" s="483"/>
      <x:c r="F30" s="483"/>
    </x:row>
    <x:row r="31">
      <x:c r="A31" s="362"/>
      <x:c r="B31" s="362"/>
      <x:c r="C31" s="362"/>
      <x:c r="D31" s="362"/>
      <x:c r="E31" s="362"/>
      <x:c r="F31" s="362"/>
    </x:row>
    <x:row r="32" ht="22" customHeight="1">
      <x:c r="A32" s="378" t="str">
        <x:v>Rent reserve forecast</x:v>
      </x:c>
      <x:c r="B32" s="378"/>
      <x:c r="C32" s="378"/>
      <x:c r="D32" s="378"/>
      <x:c r="E32" s="378"/>
      <x:c r="F32" s="378"/>
    </x:row>
    <x:row r="33">
      <x:c r="A33" s="362"/>
      <x:c r="B33" s="362"/>
      <x:c r="C33" s="362"/>
      <x:c r="D33" s="362"/>
      <x:c r="E33" s="362"/>
      <x:c r="F33" s="362"/>
    </x:row>
    <x:row r="34" ht="25" customHeight="1">
      <x:c r="A34" s="364" t="str">
        <x:v>Next rent due</x:v>
      </x:c>
      <x:c r="B34" s="494" t="n">
        <x:v>46296</x:v>
      </x:c>
      <x:c r="C34" s="362"/>
      <x:c r="D34" s="364" t="str">
        <x:v>Confirmed funding vs. monthly plan</x:v>
      </x:c>
      <x:c r="E34" s="473" t="n">
        <x:f>D30</x:f>
        <x:v>-1021.5083076923077</x:v>
      </x:c>
      <x:c r="F34" s="362"/>
    </x:row>
    <x:row r="35" ht="25" customHeight="1">
      <x:c r="A35" s="476" t="str">
        <x:v>Rent due estimate</x:v>
      </x:c>
      <x:c r="B35" s="477" t="n">
        <x:v>1169.46</x:v>
      </x:c>
      <x:c r="C35" s="362"/>
      <x:c r="D35" s="476" t="str">
        <x:v>Remaining rent funding gap</x:v>
      </x:c>
      <x:c r="E35" s="477" t="n">
        <x:f>MAX(0,$B$38-$B$39)</x:f>
        <x:v>1021.5083076923077</x:v>
      </x:c>
      <x:c r="F35" s="362"/>
    </x:row>
    <x:row r="36" ht="25" customHeight="1">
      <x:c r="A36" s="476" t="str">
        <x:v>Opening tagged rent reserve</x:v>
      </x:c>
      <x:c r="B36" s="477" t="n">
        <x:v>0</x:v>
      </x:c>
      <x:c r="C36" s="362"/>
      <x:c r="D36" s="476" t="str">
        <x:v>Emergency draw if no more funding</x:v>
      </x:c>
      <x:c r="E36" s="477" t="n">
        <x:f>E35</x:f>
        <x:v>1021.5083076923077</x:v>
      </x:c>
      <x:c r="F36" s="362"/>
    </x:row>
    <x:row r="37" ht="25" customHeight="1">
      <x:c r="A37" s="476" t="str">
        <x:v>Confirmed future rent funding</x:v>
      </x:c>
      <x:c r="B37" s="477" t="n">
        <x:v>0</x:v>
      </x:c>
      <x:c r="C37" s="362"/>
      <x:c r="D37" s="476" t="str">
        <x:v>Cushion if rent paid today</x:v>
      </x:c>
      <x:c r="E37" s="477" t="n">
        <x:f>MAX(0,$B$39-$B$35)</x:f>
        <x:v>0</x:v>
      </x:c>
      <x:c r="F37" s="362"/>
    </x:row>
    <x:row r="38" ht="25" customHeight="1">
      <x:c r="A38" s="476" t="str">
        <x:v>Target rent reserve</x:v>
      </x:c>
      <x:c r="B38" s="477" t="n">
        <x:f>MAX(B35,B30)</x:f>
        <x:v>1200</x:v>
      </x:c>
      <x:c r="C38" s="362"/>
      <x:c r="D38" s="481" t="str">
        <x:v>Next Tuesday rent cap</x:v>
      </x:c>
      <x:c r="E38" s="482" t="n">
        <x:f>B27</x:f>
        <x:v>300</x:v>
      </x:c>
      <x:c r="F38" s="362"/>
    </x:row>
    <x:row r="39" ht="25" customHeight="1">
      <x:c r="A39" s="481" t="str">
        <x:v>Tagged reserve before rent</x:v>
      </x:c>
      <x:c r="B39" s="482" t="n">
        <x:f>B36+C30+B37</x:f>
        <x:v>178.49169230769235</x:v>
      </x:c>
      <x:c r="C39" s="362"/>
      <x:c r="D39" s="462" t="str">
        <x:v>No catch-up is assumed. Enter future funding only after it is real or truly arranged.</x:v>
      </x:c>
      <x:c r="E39" s="462"/>
      <x:c r="F39" s="462"/>
    </x:row>
  </x:sheetData>
  <x:mergeCells>
    <x:mergeCell ref="A1:F1"/>
    <x:mergeCell ref="A2:F2"/>
    <x:mergeCell ref="A4:F4"/>
    <x:mergeCell ref="A11:D11"/>
    <x:mergeCell ref="A19:D19"/>
    <x:mergeCell ref="C20:D22"/>
    <x:mergeCell ref="A24:F24"/>
    <x:mergeCell ref="A32:F32"/>
    <x:mergeCell ref="D39:F39"/>
  </x:mergeCells>
  <x:conditionalFormatting sqref="B9:B9">
    <x:cfRule type="cellIs" dxfId="4" priority="1" operator="lessThan">
      <x:formula>0</x:formula>
    </x:cfRule>
  </x:conditionalFormatting>
  <x:conditionalFormatting sqref="D8:D8">
    <x:cfRule type="cellIs" dxfId="5" priority="2" operator="greaterThan">
      <x:formula>0</x:formula>
    </x:cfRule>
  </x:conditionalFormatting>
  <x:conditionalFormatting sqref="D9:D9">
    <x:cfRule type="cellIs" dxfId="6" priority="3" operator="lessThan">
      <x:formula>0</x:formula>
    </x:cfRule>
  </x:conditionalFormatting>
  <x:conditionalFormatting sqref="D26:D30">
    <x:cfRule type="cellIs" dxfId="7" priority="4" operator="lessThan">
      <x:formula>0</x:formula>
    </x:cfRule>
  </x:conditionalFormatting>
  <x:conditionalFormatting sqref="E35:E36">
    <x:cfRule type="cellIs" dxfId="8" priority="5" operator="greaterThan">
      <x:formula>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56657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9" hidden="0" customWidth="1"/>
    <x:col min="5" max="5" width="19" hidden="0" customWidth="1"/>
    <x:col min="6" max="6" width="19" hidden="0" customWidth="1"/>
    <x:col min="7" max="7" width="24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42" hidden="0" customWidth="1"/>
  </x:cols>
  <x:sheetData>
    <x:row r="1" ht="27" customHeight="1">
      <x:c r="A1" s="503" t="str">
        <x:v>History — Weekly Record</x:v>
      </x:c>
      <x:c r="B1" s="503"/>
      <x:c r="C1" s="503"/>
      <x:c r="D1" s="503"/>
      <x:c r="E1" s="503"/>
      <x:c r="F1" s="503"/>
      <x:c r="G1" s="503"/>
      <x:c r="H1" s="503"/>
      <x:c r="I1" s="503"/>
      <x:c r="J1" s="503"/>
      <x:c r="K1" s="503"/>
      <x:c r="L1" s="503"/>
      <x:c r="M1" s="503"/>
    </x:row>
    <x:row r="2" ht="28" customHeight="1">
      <x:c r="A2" s="377" t="str">
        <x:v>This is the historical record. A settlement Tuesday pays the prior Tuesday–Monday’s purchases; its Wells balance is therefore never treated as money available for the new purchase week. At the following Tuesday review, mark the execution check and reconcile transfers/screenshots.</x:v>
      </x:c>
      <x:c r="B2" s="377"/>
      <x:c r="C2" s="377"/>
      <x:c r="D2" s="377"/>
      <x:c r="E2" s="377"/>
      <x:c r="F2" s="377"/>
      <x:c r="G2" s="377"/>
      <x:c r="H2" s="377"/>
      <x:c r="I2" s="377"/>
      <x:c r="J2" s="377"/>
      <x:c r="K2" s="377"/>
      <x:c r="L2" s="377"/>
      <x:c r="M2" s="377"/>
    </x:row>
    <x:row r="3">
      <x:c r="A3" s="362"/>
      <x:c r="B3" s="362"/>
      <x:c r="C3" s="362"/>
      <x:c r="D3" s="362"/>
      <x:c r="E3" s="362"/>
      <x:c r="F3" s="362"/>
      <x:c r="G3" s="362"/>
      <x:c r="H3" s="362"/>
      <x:c r="I3" s="362"/>
      <x:c r="J3" s="362"/>
      <x:c r="K3" s="362"/>
      <x:c r="L3" s="362"/>
      <x:c r="M3" s="362"/>
    </x:row>
    <x:row r="4" ht="36" customHeight="1">
      <x:c r="A4" s="367" t="str">
        <x:v>Review Tuesday</x:v>
      </x:c>
      <x:c r="B4" s="368" t="str">
        <x:v>Purchase week start</x:v>
      </x:c>
      <x:c r="C4" s="368" t="str">
        <x:v>Purchase week end</x:v>
      </x:c>
      <x:c r="D4" s="368" t="str">
        <x:v>Wells available at review</x:v>
      </x:c>
      <x:c r="E4" s="368" t="str">
        <x:v>Wealthfront rent transfer</x:v>
      </x:c>
      <x:c r="F4" s="368" t="str">
        <x:v>Total Wells plan</x:v>
      </x:c>
      <x:c r="G4" s="368" t="str">
        <x:v>Execution check</x:v>
      </x:c>
      <x:c r="H4" s="368" t="str">
        <x:v>Purchase budget</x:v>
      </x:c>
      <x:c r="I4" s="368" t="str">
        <x:v>Posted spend</x:v>
      </x:c>
      <x:c r="J4" s="368" t="str">
        <x:v>Pending spend</x:v>
      </x:c>
      <x:c r="K4" s="368" t="str">
        <x:v>Committed spend</x:v>
      </x:c>
      <x:c r="L4" s="368" t="str">
        <x:v>Remaining / over</x:v>
      </x:c>
      <x:c r="M4" s="369" t="str">
        <x:v>Notes</x:v>
      </x:c>
    </x:row>
    <x:row r="5" ht="58" customHeight="1">
      <x:c r="A5" s="415" t="n">
        <x:v>46266</x:v>
      </x:c>
      <x:c r="B5" s="415" t="n">
        <x:f>A5-7</x:f>
        <x:v>46259</x:v>
      </x:c>
      <x:c r="C5" s="415" t="n">
        <x:f>A5-1</x:f>
        <x:v>46265</x:v>
      </x:c>
      <x:c r="D5" s="416" t="n">
        <x:v>1583.08</x:v>
      </x:c>
      <x:c r="E5" s="416" t="n">
        <x:v>631.34</x:v>
      </x:c>
      <x:c r="F5" s="416" t="n">
        <x:v>2194.42</x:v>
      </x:c>
      <x:c r="G5" s="396" t="str">
        <x:v>Legacy — not source-audited</x:v>
      </x:c>
      <x:c r="H5" s="416" t="n">
        <x:v>435.52</x:v>
      </x:c>
      <x:c r="I5" s="416" t="n">
        <x:f>SUMIFS('Support - Ledger'!$D$5:$D$304,'Support - Ledger'!$H$5:$H$304,B5,'Support - Ledger'!$E$5:$E$304,"Posted",'Support - Ledger'!$G$5:$G$304,"Include",'Support - Ledger'!$M$5:$M$304,"Verified")</x:f>
        <x:v>1647.9600000000003</x:v>
      </x:c>
      <x:c r="J5" s="416" t="n">
        <x:f>SUMIFS('Support - Ledger'!$D$5:$D$304,'Support - Ledger'!$H$5:$H$304,B5,'Support - Ledger'!$E$5:$E$304,"Pending",'Support - Ledger'!$G$5:$G$304,"Include",'Support - Ledger'!$M$5:$M$304,"Verified")</x:f>
        <x:v>11.629999999999999</x:v>
      </x:c>
      <x:c r="K5" s="416" t="n">
        <x:f>I5+J5</x:f>
        <x:v>1659.5900000000004</x:v>
      </x:c>
      <x:c r="L5" s="416" t="n">
        <x:f>IF(H5="","",H5-K5)</x:f>
        <x:v>-1224.0700000000004</x:v>
      </x:c>
      <x:c r="M5" s="396" t="str">
        <x:v>Legacy baseline: no full line-level source archive existed before the Sep. 9 audit. Do not treat this row as source-certified.</x:v>
      </x:c>
    </x:row>
    <x:row r="6" ht="58" customHeight="1">
      <x:c r="A6" s="415" t="n">
        <x:v>46273</x:v>
      </x:c>
      <x:c r="B6" s="415" t="n">
        <x:f>A6-7</x:f>
        <x:v>46266</x:v>
      </x:c>
      <x:c r="C6" s="415" t="n">
        <x:f>A6-1</x:f>
        <x:v>46272</x:v>
      </x:c>
      <x:c r="D6" s="416" t="n">
        <x:v>1227.78</x:v>
      </x:c>
      <x:c r="E6" s="416" t="n">
        <x:v>0</x:v>
      </x:c>
      <x:c r="F6" s="416" t="n">
        <x:v>1226.78</x:v>
      </x:c>
      <x:c r="G6" s="396" t="str">
        <x:v>Plan created — Sep 9</x:v>
      </x:c>
      <x:c r="H6" s="416" t="n">
        <x:v>476.6607692307693</x:v>
      </x:c>
      <x:c r="I6" s="416" t="n">
        <x:f>SUMIFS('Support - Ledger'!$D$5:$D$304,'Support - Ledger'!$H$5:$H$304,B6,'Support - Ledger'!$E$5:$E$304,"Posted",'Support - Ledger'!$G$5:$G$304,"Include",'Support - Ledger'!$M$5:$M$304,"Verified")</x:f>
        <x:v>447.99</x:v>
      </x:c>
      <x:c r="J6" s="416" t="n">
        <x:f>SUMIFS('Support - Ledger'!$D$5:$D$304,'Support - Ledger'!$H$5:$H$304,B6,'Support - Ledger'!$E$5:$E$304,"Pending",'Support - Ledger'!$G$5:$G$304,"Include",'Support - Ledger'!$M$5:$M$304,"Verified")</x:f>
        <x:v>2.5</x:v>
      </x:c>
      <x:c r="K6" s="416" t="n">
        <x:f>I6+J6</x:f>
        <x:v>450.49</x:v>
      </x:c>
      <x:c r="L6" s="416" t="n">
        <x:f>IF(H6="","",H6-K6)</x:f>
        <x:v>26.17076923076928</x:v>
      </x:c>
      <x:c r="M6" s="396" t="str">
        <x:v>Reviewed Wed Sep. 9 because of the holiday delay. The source-controlled import is verified and the $1,226.78 cash plan is ready for execution; it is not marked completed yet.</x:v>
      </x:c>
    </x:row>
    <x:row r="7" ht="22" customHeight="1">
      <x:c r="A7" s="415" t="n">
        <x:v>46280</x:v>
      </x:c>
      <x:c r="B7" s="415" t="n">
        <x:f>A7-7</x:f>
        <x:v>46273</x:v>
      </x:c>
      <x:c r="C7" s="415" t="n">
        <x:f>A7-1</x:f>
        <x:v>46279</x:v>
      </x:c>
      <x:c r="D7" s="395"/>
      <x:c r="E7" s="395"/>
      <x:c r="F7" s="395"/>
      <x:c r="G7" s="396"/>
      <x:c r="H7" s="395"/>
      <x:c r="I7" s="416" t="n">
        <x:f>SUMIFS('Support - Ledger'!$D$5:$D$304,'Support - Ledger'!$H$5:$H$304,B7,'Support - Ledger'!$E$5:$E$304,"Posted",'Support - Ledger'!$G$5:$G$304,"Include",'Support - Ledger'!$M$5:$M$304,"Verified")</x:f>
        <x:v>0</x:v>
      </x:c>
      <x:c r="J7" s="416" t="n">
        <x:f>SUMIFS('Support - Ledger'!$D$5:$D$304,'Support - Ledger'!$H$5:$H$304,B7,'Support - Ledger'!$E$5:$E$304,"Pending",'Support - Ledger'!$G$5:$G$304,"Include",'Support - Ledger'!$M$5:$M$304,"Verified")</x:f>
        <x:v>74.49000000000001</x:v>
      </x:c>
      <x:c r="K7" s="416" t="n">
        <x:f>I7+J7</x:f>
        <x:v>74.49000000000001</x:v>
      </x:c>
      <x:c r="L7" s="416" t="str">
        <x:f>IF(H7="","",H7-K7)</x:f>
      </x:c>
      <x:c r="M7" s="396"/>
    </x:row>
    <x:row r="8" ht="22" customHeight="1">
      <x:c r="A8" s="415" t="n">
        <x:v>46287</x:v>
      </x:c>
      <x:c r="B8" s="415" t="n">
        <x:f>A8-7</x:f>
        <x:v>46280</x:v>
      </x:c>
      <x:c r="C8" s="415" t="n">
        <x:f>A8-1</x:f>
        <x:v>46286</x:v>
      </x:c>
      <x:c r="D8" s="395"/>
      <x:c r="E8" s="395"/>
      <x:c r="F8" s="395"/>
      <x:c r="G8" s="396"/>
      <x:c r="H8" s="395"/>
      <x:c r="I8" s="416" t="n">
        <x:f>SUMIFS('Support - Ledger'!$D$5:$D$304,'Support - Ledger'!$H$5:$H$304,B8,'Support - Ledger'!$E$5:$E$304,"Posted",'Support - Ledger'!$G$5:$G$304,"Include",'Support - Ledger'!$M$5:$M$304,"Verified")</x:f>
        <x:v>0</x:v>
      </x:c>
      <x:c r="J8" s="416" t="n">
        <x:f>SUMIFS('Support - Ledger'!$D$5:$D$304,'Support - Ledger'!$H$5:$H$304,B8,'Support - Ledger'!$E$5:$E$304,"Pending",'Support - Ledger'!$G$5:$G$304,"Include",'Support - Ledger'!$M$5:$M$304,"Verified")</x:f>
        <x:v>0</x:v>
      </x:c>
      <x:c r="K8" s="416" t="n">
        <x:f>I8+J8</x:f>
        <x:v>0</x:v>
      </x:c>
      <x:c r="L8" s="416" t="str">
        <x:f>IF(H8="","",H8-K8)</x:f>
      </x:c>
      <x:c r="M8" s="396"/>
    </x:row>
    <x:row r="9" ht="22" customHeight="1">
      <x:c r="A9" s="415" t="n">
        <x:v>46294</x:v>
      </x:c>
      <x:c r="B9" s="415" t="n">
        <x:f>A9-7</x:f>
        <x:v>46287</x:v>
      </x:c>
      <x:c r="C9" s="415" t="n">
        <x:f>A9-1</x:f>
        <x:v>46293</x:v>
      </x:c>
      <x:c r="D9" s="395"/>
      <x:c r="E9" s="395"/>
      <x:c r="F9" s="395"/>
      <x:c r="G9" s="396"/>
      <x:c r="H9" s="395"/>
      <x:c r="I9" s="416" t="n">
        <x:f>SUMIFS('Support - Ledger'!$D$5:$D$304,'Support - Ledger'!$H$5:$H$304,B9,'Support - Ledger'!$E$5:$E$304,"Posted",'Support - Ledger'!$G$5:$G$304,"Include",'Support - Ledger'!$M$5:$M$304,"Verified")</x:f>
        <x:v>0</x:v>
      </x:c>
      <x:c r="J9" s="416" t="n">
        <x:f>SUMIFS('Support - Ledger'!$D$5:$D$304,'Support - Ledger'!$H$5:$H$304,B9,'Support - Ledger'!$E$5:$E$304,"Pending",'Support - Ledger'!$G$5:$G$304,"Include",'Support - Ledger'!$M$5:$M$304,"Verified")</x:f>
        <x:v>0</x:v>
      </x:c>
      <x:c r="K9" s="416" t="n">
        <x:f>I9+J9</x:f>
        <x:v>0</x:v>
      </x:c>
      <x:c r="L9" s="416" t="str">
        <x:f>IF(H9="","",H9-K9)</x:f>
      </x:c>
      <x:c r="M9" s="396"/>
    </x:row>
    <x:row r="10" ht="22" customHeight="1">
      <x:c r="A10" s="415" t="n">
        <x:v>46301</x:v>
      </x:c>
      <x:c r="B10" s="415" t="n">
        <x:f>A10-7</x:f>
        <x:v>46294</x:v>
      </x:c>
      <x:c r="C10" s="415" t="n">
        <x:f>A10-1</x:f>
        <x:v>46300</x:v>
      </x:c>
      <x:c r="D10" s="395"/>
      <x:c r="E10" s="395"/>
      <x:c r="F10" s="395"/>
      <x:c r="G10" s="396"/>
      <x:c r="H10" s="395"/>
      <x:c r="I10" s="416" t="n">
        <x:f>SUMIFS('Support - Ledger'!$D$5:$D$304,'Support - Ledger'!$H$5:$H$304,B10,'Support - Ledger'!$E$5:$E$304,"Posted",'Support - Ledger'!$G$5:$G$304,"Include",'Support - Ledger'!$M$5:$M$304,"Verified")</x:f>
        <x:v>0</x:v>
      </x:c>
      <x:c r="J10" s="416" t="n">
        <x:f>SUMIFS('Support - Ledger'!$D$5:$D$304,'Support - Ledger'!$H$5:$H$304,B10,'Support - Ledger'!$E$5:$E$304,"Pending",'Support - Ledger'!$G$5:$G$304,"Include",'Support - Ledger'!$M$5:$M$304,"Verified")</x:f>
        <x:v>0</x:v>
      </x:c>
      <x:c r="K10" s="416" t="n">
        <x:f>I10+J10</x:f>
        <x:v>0</x:v>
      </x:c>
      <x:c r="L10" s="416" t="str">
        <x:f>IF(H10="","",H10-K10)</x:f>
      </x:c>
      <x:c r="M10" s="396"/>
    </x:row>
    <x:row r="11" ht="22" customHeight="1">
      <x:c r="A11" s="415" t="n">
        <x:v>46308</x:v>
      </x:c>
      <x:c r="B11" s="415" t="n">
        <x:f>A11-7</x:f>
        <x:v>46301</x:v>
      </x:c>
      <x:c r="C11" s="415" t="n">
        <x:f>A11-1</x:f>
        <x:v>46307</x:v>
      </x:c>
      <x:c r="D11" s="395"/>
      <x:c r="E11" s="395"/>
      <x:c r="F11" s="395"/>
      <x:c r="G11" s="396"/>
      <x:c r="H11" s="395"/>
      <x:c r="I11" s="416" t="n">
        <x:f>SUMIFS('Support - Ledger'!$D$5:$D$304,'Support - Ledger'!$H$5:$H$304,B11,'Support - Ledger'!$E$5:$E$304,"Posted",'Support - Ledger'!$G$5:$G$304,"Include",'Support - Ledger'!$M$5:$M$304,"Verified")</x:f>
        <x:v>0</x:v>
      </x:c>
      <x:c r="J11" s="416" t="n">
        <x:f>SUMIFS('Support - Ledger'!$D$5:$D$304,'Support - Ledger'!$H$5:$H$304,B11,'Support - Ledger'!$E$5:$E$304,"Pending",'Support - Ledger'!$G$5:$G$304,"Include",'Support - Ledger'!$M$5:$M$304,"Verified")</x:f>
        <x:v>0</x:v>
      </x:c>
      <x:c r="K11" s="416" t="n">
        <x:f>I11+J11</x:f>
        <x:v>0</x:v>
      </x:c>
      <x:c r="L11" s="416" t="str">
        <x:f>IF(H11="","",H11-K11)</x:f>
      </x:c>
      <x:c r="M11" s="396"/>
    </x:row>
    <x:row r="12" ht="22" customHeight="1">
      <x:c r="A12" s="415" t="n">
        <x:v>46315</x:v>
      </x:c>
      <x:c r="B12" s="415" t="n">
        <x:f>A12-7</x:f>
        <x:v>46308</x:v>
      </x:c>
      <x:c r="C12" s="415" t="n">
        <x:f>A12-1</x:f>
        <x:v>46314</x:v>
      </x:c>
      <x:c r="D12" s="395"/>
      <x:c r="E12" s="395"/>
      <x:c r="F12" s="395"/>
      <x:c r="G12" s="396"/>
      <x:c r="H12" s="395"/>
      <x:c r="I12" s="416" t="n">
        <x:f>SUMIFS('Support - Ledger'!$D$5:$D$304,'Support - Ledger'!$H$5:$H$304,B12,'Support - Ledger'!$E$5:$E$304,"Posted",'Support - Ledger'!$G$5:$G$304,"Include",'Support - Ledger'!$M$5:$M$304,"Verified")</x:f>
        <x:v>0</x:v>
      </x:c>
      <x:c r="J12" s="416" t="n">
        <x:f>SUMIFS('Support - Ledger'!$D$5:$D$304,'Support - Ledger'!$H$5:$H$304,B12,'Support - Ledger'!$E$5:$E$304,"Pending",'Support - Ledger'!$G$5:$G$304,"Include",'Support - Ledger'!$M$5:$M$304,"Verified")</x:f>
        <x:v>0</x:v>
      </x:c>
      <x:c r="K12" s="416" t="n">
        <x:f>I12+J12</x:f>
        <x:v>0</x:v>
      </x:c>
      <x:c r="L12" s="416" t="str">
        <x:f>IF(H12="","",H12-K12)</x:f>
      </x:c>
      <x:c r="M12" s="396"/>
    </x:row>
    <x:row r="13" ht="22" customHeight="1">
      <x:c r="A13" s="415" t="n">
        <x:v>46322</x:v>
      </x:c>
      <x:c r="B13" s="415" t="n">
        <x:f>A13-7</x:f>
        <x:v>46315</x:v>
      </x:c>
      <x:c r="C13" s="415" t="n">
        <x:f>A13-1</x:f>
        <x:v>46321</x:v>
      </x:c>
      <x:c r="D13" s="395"/>
      <x:c r="E13" s="395"/>
      <x:c r="F13" s="395"/>
      <x:c r="G13" s="396"/>
      <x:c r="H13" s="395"/>
      <x:c r="I13" s="416" t="n">
        <x:f>SUMIFS('Support - Ledger'!$D$5:$D$304,'Support - Ledger'!$H$5:$H$304,B13,'Support - Ledger'!$E$5:$E$304,"Posted",'Support - Ledger'!$G$5:$G$304,"Include",'Support - Ledger'!$M$5:$M$304,"Verified")</x:f>
        <x:v>0</x:v>
      </x:c>
      <x:c r="J13" s="416" t="n">
        <x:f>SUMIFS('Support - Ledger'!$D$5:$D$304,'Support - Ledger'!$H$5:$H$304,B13,'Support - Ledger'!$E$5:$E$304,"Pending",'Support - Ledger'!$G$5:$G$304,"Include",'Support - Ledger'!$M$5:$M$304,"Verified")</x:f>
        <x:v>0</x:v>
      </x:c>
      <x:c r="K13" s="416" t="n">
        <x:f>I13+J13</x:f>
        <x:v>0</x:v>
      </x:c>
      <x:c r="L13" s="416" t="str">
        <x:f>IF(H13="","",H13-K13)</x:f>
      </x:c>
      <x:c r="M13" s="396"/>
    </x:row>
    <x:row r="14" ht="22" customHeight="1">
      <x:c r="A14" s="415" t="n">
        <x:v>46329</x:v>
      </x:c>
      <x:c r="B14" s="415" t="n">
        <x:f>A14-7</x:f>
        <x:v>46322</x:v>
      </x:c>
      <x:c r="C14" s="415" t="n">
        <x:f>A14-1</x:f>
        <x:v>46328</x:v>
      </x:c>
      <x:c r="D14" s="395"/>
      <x:c r="E14" s="395"/>
      <x:c r="F14" s="395"/>
      <x:c r="G14" s="396"/>
      <x:c r="H14" s="395"/>
      <x:c r="I14" s="416" t="n">
        <x:f>SUMIFS('Support - Ledger'!$D$5:$D$304,'Support - Ledger'!$H$5:$H$304,B14,'Support - Ledger'!$E$5:$E$304,"Posted",'Support - Ledger'!$G$5:$G$304,"Include",'Support - Ledger'!$M$5:$M$304,"Verified")</x:f>
        <x:v>0</x:v>
      </x:c>
      <x:c r="J14" s="416" t="n">
        <x:f>SUMIFS('Support - Ledger'!$D$5:$D$304,'Support - Ledger'!$H$5:$H$304,B14,'Support - Ledger'!$E$5:$E$304,"Pending",'Support - Ledger'!$G$5:$G$304,"Include",'Support - Ledger'!$M$5:$M$304,"Verified")</x:f>
        <x:v>0</x:v>
      </x:c>
      <x:c r="K14" s="416" t="n">
        <x:f>I14+J14</x:f>
        <x:v>0</x:v>
      </x:c>
      <x:c r="L14" s="416" t="str">
        <x:f>IF(H14="","",H14-K14)</x:f>
      </x:c>
      <x:c r="M14" s="396"/>
    </x:row>
    <x:row r="15" ht="22" customHeight="1">
      <x:c r="A15" s="415" t="n">
        <x:v>46336</x:v>
      </x:c>
      <x:c r="B15" s="415" t="n">
        <x:f>A15-7</x:f>
        <x:v>46329</x:v>
      </x:c>
      <x:c r="C15" s="415" t="n">
        <x:f>A15-1</x:f>
        <x:v>46335</x:v>
      </x:c>
      <x:c r="D15" s="395"/>
      <x:c r="E15" s="395"/>
      <x:c r="F15" s="395"/>
      <x:c r="G15" s="396"/>
      <x:c r="H15" s="395"/>
      <x:c r="I15" s="416" t="n">
        <x:f>SUMIFS('Support - Ledger'!$D$5:$D$304,'Support - Ledger'!$H$5:$H$304,B15,'Support - Ledger'!$E$5:$E$304,"Posted",'Support - Ledger'!$G$5:$G$304,"Include",'Support - Ledger'!$M$5:$M$304,"Verified")</x:f>
        <x:v>0</x:v>
      </x:c>
      <x:c r="J15" s="416" t="n">
        <x:f>SUMIFS('Support - Ledger'!$D$5:$D$304,'Support - Ledger'!$H$5:$H$304,B15,'Support - Ledger'!$E$5:$E$304,"Pending",'Support - Ledger'!$G$5:$G$304,"Include",'Support - Ledger'!$M$5:$M$304,"Verified")</x:f>
        <x:v>0</x:v>
      </x:c>
      <x:c r="K15" s="416" t="n">
        <x:f>I15+J15</x:f>
        <x:v>0</x:v>
      </x:c>
      <x:c r="L15" s="416" t="str">
        <x:f>IF(H15="","",H15-K15)</x:f>
      </x:c>
      <x:c r="M15" s="396"/>
    </x:row>
    <x:row r="16" ht="22" customHeight="1">
      <x:c r="A16" s="415" t="n">
        <x:v>46343</x:v>
      </x:c>
      <x:c r="B16" s="415" t="n">
        <x:f>A16-7</x:f>
        <x:v>46336</x:v>
      </x:c>
      <x:c r="C16" s="415" t="n">
        <x:f>A16-1</x:f>
        <x:v>46342</x:v>
      </x:c>
      <x:c r="D16" s="395"/>
      <x:c r="E16" s="395"/>
      <x:c r="F16" s="395"/>
      <x:c r="G16" s="396"/>
      <x:c r="H16" s="395"/>
      <x:c r="I16" s="416" t="n">
        <x:f>SUMIFS('Support - Ledger'!$D$5:$D$304,'Support - Ledger'!$H$5:$H$304,B16,'Support - Ledger'!$E$5:$E$304,"Posted",'Support - Ledger'!$G$5:$G$304,"Include",'Support - Ledger'!$M$5:$M$304,"Verified")</x:f>
        <x:v>0</x:v>
      </x:c>
      <x:c r="J16" s="416" t="n">
        <x:f>SUMIFS('Support - Ledger'!$D$5:$D$304,'Support - Ledger'!$H$5:$H$304,B16,'Support - Ledger'!$E$5:$E$304,"Pending",'Support - Ledger'!$G$5:$G$304,"Include",'Support - Ledger'!$M$5:$M$304,"Verified")</x:f>
        <x:v>0</x:v>
      </x:c>
      <x:c r="K16" s="416" t="n">
        <x:f>I16+J16</x:f>
        <x:v>0</x:v>
      </x:c>
      <x:c r="L16" s="416" t="str">
        <x:f>IF(H16="","",H16-K16)</x:f>
      </x:c>
      <x:c r="M16" s="396"/>
    </x:row>
    <x:row r="17" ht="22" customHeight="1">
      <x:c r="A17" s="415" t="n">
        <x:v>46350</x:v>
      </x:c>
      <x:c r="B17" s="415" t="n">
        <x:f>A17-7</x:f>
        <x:v>46343</x:v>
      </x:c>
      <x:c r="C17" s="415" t="n">
        <x:f>A17-1</x:f>
        <x:v>46349</x:v>
      </x:c>
      <x:c r="D17" s="395"/>
      <x:c r="E17" s="395"/>
      <x:c r="F17" s="395"/>
      <x:c r="G17" s="396"/>
      <x:c r="H17" s="395"/>
      <x:c r="I17" s="416" t="n">
        <x:f>SUMIFS('Support - Ledger'!$D$5:$D$304,'Support - Ledger'!$H$5:$H$304,B17,'Support - Ledger'!$E$5:$E$304,"Posted",'Support - Ledger'!$G$5:$G$304,"Include",'Support - Ledger'!$M$5:$M$304,"Verified")</x:f>
        <x:v>0</x:v>
      </x:c>
      <x:c r="J17" s="416" t="n">
        <x:f>SUMIFS('Support - Ledger'!$D$5:$D$304,'Support - Ledger'!$H$5:$H$304,B17,'Support - Ledger'!$E$5:$E$304,"Pending",'Support - Ledger'!$G$5:$G$304,"Include",'Support - Ledger'!$M$5:$M$304,"Verified")</x:f>
        <x:v>0</x:v>
      </x:c>
      <x:c r="K17" s="416" t="n">
        <x:f>I17+J17</x:f>
        <x:v>0</x:v>
      </x:c>
      <x:c r="L17" s="416" t="str">
        <x:f>IF(H17="","",H17-K17)</x:f>
      </x:c>
      <x:c r="M17" s="396"/>
    </x:row>
    <x:row r="18" ht="22" customHeight="1">
      <x:c r="A18" s="415" t="n">
        <x:v>46357</x:v>
      </x:c>
      <x:c r="B18" s="415" t="n">
        <x:f>A18-7</x:f>
        <x:v>46350</x:v>
      </x:c>
      <x:c r="C18" s="415" t="n">
        <x:f>A18-1</x:f>
        <x:v>46356</x:v>
      </x:c>
      <x:c r="D18" s="395"/>
      <x:c r="E18" s="395"/>
      <x:c r="F18" s="395"/>
      <x:c r="G18" s="396"/>
      <x:c r="H18" s="395"/>
      <x:c r="I18" s="416" t="n">
        <x:f>SUMIFS('Support - Ledger'!$D$5:$D$304,'Support - Ledger'!$H$5:$H$304,B18,'Support - Ledger'!$E$5:$E$304,"Posted",'Support - Ledger'!$G$5:$G$304,"Include",'Support - Ledger'!$M$5:$M$304,"Verified")</x:f>
        <x:v>0</x:v>
      </x:c>
      <x:c r="J18" s="416" t="n">
        <x:f>SUMIFS('Support - Ledger'!$D$5:$D$304,'Support - Ledger'!$H$5:$H$304,B18,'Support - Ledger'!$E$5:$E$304,"Pending",'Support - Ledger'!$G$5:$G$304,"Include",'Support - Ledger'!$M$5:$M$304,"Verified")</x:f>
        <x:v>0</x:v>
      </x:c>
      <x:c r="K18" s="416" t="n">
        <x:f>I18+J18</x:f>
        <x:v>0</x:v>
      </x:c>
      <x:c r="L18" s="416" t="str">
        <x:f>IF(H18="","",H18-K18)</x:f>
      </x:c>
      <x:c r="M18" s="396"/>
    </x:row>
    <x:row r="19" ht="22" customHeight="1">
      <x:c r="A19" s="415" t="n">
        <x:v>46364</x:v>
      </x:c>
      <x:c r="B19" s="415" t="n">
        <x:f>A19-7</x:f>
        <x:v>46357</x:v>
      </x:c>
      <x:c r="C19" s="415" t="n">
        <x:f>A19-1</x:f>
        <x:v>46363</x:v>
      </x:c>
      <x:c r="D19" s="395"/>
      <x:c r="E19" s="395"/>
      <x:c r="F19" s="395"/>
      <x:c r="G19" s="396"/>
      <x:c r="H19" s="395"/>
      <x:c r="I19" s="416" t="n">
        <x:f>SUMIFS('Support - Ledger'!$D$5:$D$304,'Support - Ledger'!$H$5:$H$304,B19,'Support - Ledger'!$E$5:$E$304,"Posted",'Support - Ledger'!$G$5:$G$304,"Include",'Support - Ledger'!$M$5:$M$304,"Verified")</x:f>
        <x:v>0</x:v>
      </x:c>
      <x:c r="J19" s="416" t="n">
        <x:f>SUMIFS('Support - Ledger'!$D$5:$D$304,'Support - Ledger'!$H$5:$H$304,B19,'Support - Ledger'!$E$5:$E$304,"Pending",'Support - Ledger'!$G$5:$G$304,"Include",'Support - Ledger'!$M$5:$M$304,"Verified")</x:f>
        <x:v>0</x:v>
      </x:c>
      <x:c r="K19" s="416" t="n">
        <x:f>I19+J19</x:f>
        <x:v>0</x:v>
      </x:c>
      <x:c r="L19" s="416" t="str">
        <x:f>IF(H19="","",H19-K19)</x:f>
      </x:c>
      <x:c r="M19" s="396"/>
    </x:row>
    <x:row r="20" ht="22" customHeight="1">
      <x:c r="A20" s="415" t="n">
        <x:v>46371</x:v>
      </x:c>
      <x:c r="B20" s="415" t="n">
        <x:f>A20-7</x:f>
        <x:v>46364</x:v>
      </x:c>
      <x:c r="C20" s="415" t="n">
        <x:f>A20-1</x:f>
        <x:v>46370</x:v>
      </x:c>
      <x:c r="D20" s="395"/>
      <x:c r="E20" s="395"/>
      <x:c r="F20" s="395"/>
      <x:c r="G20" s="396"/>
      <x:c r="H20" s="395"/>
      <x:c r="I20" s="416" t="n">
        <x:f>SUMIFS('Support - Ledger'!$D$5:$D$304,'Support - Ledger'!$H$5:$H$304,B20,'Support - Ledger'!$E$5:$E$304,"Posted",'Support - Ledger'!$G$5:$G$304,"Include",'Support - Ledger'!$M$5:$M$304,"Verified")</x:f>
        <x:v>0</x:v>
      </x:c>
      <x:c r="J20" s="416" t="n">
        <x:f>SUMIFS('Support - Ledger'!$D$5:$D$304,'Support - Ledger'!$H$5:$H$304,B20,'Support - Ledger'!$E$5:$E$304,"Pending",'Support - Ledger'!$G$5:$G$304,"Include",'Support - Ledger'!$M$5:$M$304,"Verified")</x:f>
        <x:v>0</x:v>
      </x:c>
      <x:c r="K20" s="416" t="n">
        <x:f>I20+J20</x:f>
        <x:v>0</x:v>
      </x:c>
      <x:c r="L20" s="416" t="str">
        <x:f>IF(H20="","",H20-K20)</x:f>
      </x:c>
      <x:c r="M20" s="396"/>
    </x:row>
    <x:row r="21" ht="22" customHeight="1">
      <x:c r="A21" s="415" t="n">
        <x:v>46378</x:v>
      </x:c>
      <x:c r="B21" s="415" t="n">
        <x:f>A21-7</x:f>
        <x:v>46371</x:v>
      </x:c>
      <x:c r="C21" s="415" t="n">
        <x:f>A21-1</x:f>
        <x:v>46377</x:v>
      </x:c>
      <x:c r="D21" s="395"/>
      <x:c r="E21" s="395"/>
      <x:c r="F21" s="395"/>
      <x:c r="G21" s="396"/>
      <x:c r="H21" s="395"/>
      <x:c r="I21" s="416" t="n">
        <x:f>SUMIFS('Support - Ledger'!$D$5:$D$304,'Support - Ledger'!$H$5:$H$304,B21,'Support - Ledger'!$E$5:$E$304,"Posted",'Support - Ledger'!$G$5:$G$304,"Include",'Support - Ledger'!$M$5:$M$304,"Verified")</x:f>
        <x:v>0</x:v>
      </x:c>
      <x:c r="J21" s="416" t="n">
        <x:f>SUMIFS('Support - Ledger'!$D$5:$D$304,'Support - Ledger'!$H$5:$H$304,B21,'Support - Ledger'!$E$5:$E$304,"Pending",'Support - Ledger'!$G$5:$G$304,"Include",'Support - Ledger'!$M$5:$M$304,"Verified")</x:f>
        <x:v>0</x:v>
      </x:c>
      <x:c r="K21" s="416" t="n">
        <x:f>I21+J21</x:f>
        <x:v>0</x:v>
      </x:c>
      <x:c r="L21" s="416" t="str">
        <x:f>IF(H21="","",H21-K21)</x:f>
      </x:c>
      <x:c r="M21" s="396"/>
    </x:row>
    <x:row r="22" ht="22" customHeight="1">
      <x:c r="A22" s="415" t="n">
        <x:v>46385</x:v>
      </x:c>
      <x:c r="B22" s="415" t="n">
        <x:f>A22-7</x:f>
        <x:v>46378</x:v>
      </x:c>
      <x:c r="C22" s="415" t="n">
        <x:f>A22-1</x:f>
        <x:v>46384</x:v>
      </x:c>
      <x:c r="D22" s="395"/>
      <x:c r="E22" s="395"/>
      <x:c r="F22" s="395"/>
      <x:c r="G22" s="396"/>
      <x:c r="H22" s="395"/>
      <x:c r="I22" s="416" t="n">
        <x:f>SUMIFS('Support - Ledger'!$D$5:$D$304,'Support - Ledger'!$H$5:$H$304,B22,'Support - Ledger'!$E$5:$E$304,"Posted",'Support - Ledger'!$G$5:$G$304,"Include",'Support - Ledger'!$M$5:$M$304,"Verified")</x:f>
        <x:v>0</x:v>
      </x:c>
      <x:c r="J22" s="416" t="n">
        <x:f>SUMIFS('Support - Ledger'!$D$5:$D$304,'Support - Ledger'!$H$5:$H$304,B22,'Support - Ledger'!$E$5:$E$304,"Pending",'Support - Ledger'!$G$5:$G$304,"Include",'Support - Ledger'!$M$5:$M$304,"Verified")</x:f>
        <x:v>0</x:v>
      </x:c>
      <x:c r="K22" s="416" t="n">
        <x:f>I22+J22</x:f>
        <x:v>0</x:v>
      </x:c>
      <x:c r="L22" s="416" t="str">
        <x:f>IF(H22="","",H22-K22)</x:f>
      </x:c>
      <x:c r="M22" s="396"/>
    </x:row>
    <x:row r="23" ht="22" customHeight="1">
      <x:c r="A23" s="415" t="n">
        <x:v>46392</x:v>
      </x:c>
      <x:c r="B23" s="415" t="n">
        <x:f>A23-7</x:f>
        <x:v>46385</x:v>
      </x:c>
      <x:c r="C23" s="415" t="n">
        <x:f>A23-1</x:f>
        <x:v>46391</x:v>
      </x:c>
      <x:c r="D23" s="395"/>
      <x:c r="E23" s="395"/>
      <x:c r="F23" s="395"/>
      <x:c r="G23" s="396"/>
      <x:c r="H23" s="395"/>
      <x:c r="I23" s="416" t="n">
        <x:f>SUMIFS('Support - Ledger'!$D$5:$D$304,'Support - Ledger'!$H$5:$H$304,B23,'Support - Ledger'!$E$5:$E$304,"Posted",'Support - Ledger'!$G$5:$G$304,"Include",'Support - Ledger'!$M$5:$M$304,"Verified")</x:f>
        <x:v>0</x:v>
      </x:c>
      <x:c r="J23" s="416" t="n">
        <x:f>SUMIFS('Support - Ledger'!$D$5:$D$304,'Support - Ledger'!$H$5:$H$304,B23,'Support - Ledger'!$E$5:$E$304,"Pending",'Support - Ledger'!$G$5:$G$304,"Include",'Support - Ledger'!$M$5:$M$304,"Verified")</x:f>
        <x:v>0</x:v>
      </x:c>
      <x:c r="K23" s="416" t="n">
        <x:f>I23+J23</x:f>
        <x:v>0</x:v>
      </x:c>
      <x:c r="L23" s="416" t="str">
        <x:f>IF(H23="","",H23-K23)</x:f>
      </x:c>
      <x:c r="M23" s="396"/>
    </x:row>
    <x:row r="24" ht="22" customHeight="1">
      <x:c r="A24" s="415" t="n">
        <x:v>46399</x:v>
      </x:c>
      <x:c r="B24" s="415" t="n">
        <x:f>A24-7</x:f>
        <x:v>46392</x:v>
      </x:c>
      <x:c r="C24" s="415" t="n">
        <x:f>A24-1</x:f>
        <x:v>46398</x:v>
      </x:c>
      <x:c r="D24" s="395"/>
      <x:c r="E24" s="395"/>
      <x:c r="F24" s="395"/>
      <x:c r="G24" s="396"/>
      <x:c r="H24" s="395"/>
      <x:c r="I24" s="416" t="n">
        <x:f>SUMIFS('Support - Ledger'!$D$5:$D$304,'Support - Ledger'!$H$5:$H$304,B24,'Support - Ledger'!$E$5:$E$304,"Posted",'Support - Ledger'!$G$5:$G$304,"Include",'Support - Ledger'!$M$5:$M$304,"Verified")</x:f>
        <x:v>0</x:v>
      </x:c>
      <x:c r="J24" s="416" t="n">
        <x:f>SUMIFS('Support - Ledger'!$D$5:$D$304,'Support - Ledger'!$H$5:$H$304,B24,'Support - Ledger'!$E$5:$E$304,"Pending",'Support - Ledger'!$G$5:$G$304,"Include",'Support - Ledger'!$M$5:$M$304,"Verified")</x:f>
        <x:v>0</x:v>
      </x:c>
      <x:c r="K24" s="416" t="n">
        <x:f>I24+J24</x:f>
        <x:v>0</x:v>
      </x:c>
      <x:c r="L24" s="416" t="str">
        <x:f>IF(H24="","",H24-K24)</x:f>
      </x:c>
      <x:c r="M24" s="396"/>
    </x:row>
    <x:row r="25" ht="22" customHeight="1">
      <x:c r="A25" s="415" t="n">
        <x:v>46406</x:v>
      </x:c>
      <x:c r="B25" s="415" t="n">
        <x:f>A25-7</x:f>
        <x:v>46399</x:v>
      </x:c>
      <x:c r="C25" s="415" t="n">
        <x:f>A25-1</x:f>
        <x:v>46405</x:v>
      </x:c>
      <x:c r="D25" s="395"/>
      <x:c r="E25" s="395"/>
      <x:c r="F25" s="395"/>
      <x:c r="G25" s="396"/>
      <x:c r="H25" s="395"/>
      <x:c r="I25" s="416" t="n">
        <x:f>SUMIFS('Support - Ledger'!$D$5:$D$304,'Support - Ledger'!$H$5:$H$304,B25,'Support - Ledger'!$E$5:$E$304,"Posted",'Support - Ledger'!$G$5:$G$304,"Include",'Support - Ledger'!$M$5:$M$304,"Verified")</x:f>
        <x:v>0</x:v>
      </x:c>
      <x:c r="J25" s="416" t="n">
        <x:f>SUMIFS('Support - Ledger'!$D$5:$D$304,'Support - Ledger'!$H$5:$H$304,B25,'Support - Ledger'!$E$5:$E$304,"Pending",'Support - Ledger'!$G$5:$G$304,"Include",'Support - Ledger'!$M$5:$M$304,"Verified")</x:f>
        <x:v>0</x:v>
      </x:c>
      <x:c r="K25" s="416" t="n">
        <x:f>I25+J25</x:f>
        <x:v>0</x:v>
      </x:c>
      <x:c r="L25" s="416" t="str">
        <x:f>IF(H25="","",H25-K25)</x:f>
      </x:c>
      <x:c r="M25" s="396"/>
    </x:row>
    <x:row r="26" ht="22" customHeight="1">
      <x:c r="A26" s="415" t="n">
        <x:v>46413</x:v>
      </x:c>
      <x:c r="B26" s="415" t="n">
        <x:f>A26-7</x:f>
        <x:v>46406</x:v>
      </x:c>
      <x:c r="C26" s="415" t="n">
        <x:f>A26-1</x:f>
        <x:v>46412</x:v>
      </x:c>
      <x:c r="D26" s="395"/>
      <x:c r="E26" s="395"/>
      <x:c r="F26" s="395"/>
      <x:c r="G26" s="396"/>
      <x:c r="H26" s="395"/>
      <x:c r="I26" s="416" t="n">
        <x:f>SUMIFS('Support - Ledger'!$D$5:$D$304,'Support - Ledger'!$H$5:$H$304,B26,'Support - Ledger'!$E$5:$E$304,"Posted",'Support - Ledger'!$G$5:$G$304,"Include",'Support - Ledger'!$M$5:$M$304,"Verified")</x:f>
        <x:v>0</x:v>
      </x:c>
      <x:c r="J26" s="416" t="n">
        <x:f>SUMIFS('Support - Ledger'!$D$5:$D$304,'Support - Ledger'!$H$5:$H$304,B26,'Support - Ledger'!$E$5:$E$304,"Pending",'Support - Ledger'!$G$5:$G$304,"Include",'Support - Ledger'!$M$5:$M$304,"Verified")</x:f>
        <x:v>0</x:v>
      </x:c>
      <x:c r="K26" s="416" t="n">
        <x:f>I26+J26</x:f>
        <x:v>0</x:v>
      </x:c>
      <x:c r="L26" s="416" t="str">
        <x:f>IF(H26="","",H26-K26)</x:f>
      </x:c>
      <x:c r="M26" s="396"/>
    </x:row>
    <x:row r="27" ht="22" customHeight="1">
      <x:c r="A27" s="415" t="n">
        <x:v>46420</x:v>
      </x:c>
      <x:c r="B27" s="415" t="n">
        <x:f>A27-7</x:f>
        <x:v>46413</x:v>
      </x:c>
      <x:c r="C27" s="415" t="n">
        <x:f>A27-1</x:f>
        <x:v>46419</x:v>
      </x:c>
      <x:c r="D27" s="395"/>
      <x:c r="E27" s="395"/>
      <x:c r="F27" s="395"/>
      <x:c r="G27" s="396"/>
      <x:c r="H27" s="395"/>
      <x:c r="I27" s="416" t="n">
        <x:f>SUMIFS('Support - Ledger'!$D$5:$D$304,'Support - Ledger'!$H$5:$H$304,B27,'Support - Ledger'!$E$5:$E$304,"Posted",'Support - Ledger'!$G$5:$G$304,"Include",'Support - Ledger'!$M$5:$M$304,"Verified")</x:f>
        <x:v>0</x:v>
      </x:c>
      <x:c r="J27" s="416" t="n">
        <x:f>SUMIFS('Support - Ledger'!$D$5:$D$304,'Support - Ledger'!$H$5:$H$304,B27,'Support - Ledger'!$E$5:$E$304,"Pending",'Support - Ledger'!$G$5:$G$304,"Include",'Support - Ledger'!$M$5:$M$304,"Verified")</x:f>
        <x:v>0</x:v>
      </x:c>
      <x:c r="K27" s="416" t="n">
        <x:f>I27+J27</x:f>
        <x:v>0</x:v>
      </x:c>
      <x:c r="L27" s="416" t="str">
        <x:f>IF(H27="","",H27-K27)</x:f>
      </x:c>
      <x:c r="M27" s="396"/>
    </x:row>
    <x:row r="28" ht="22" customHeight="1">
      <x:c r="A28" s="415" t="n">
        <x:v>46427</x:v>
      </x:c>
      <x:c r="B28" s="415" t="n">
        <x:f>A28-7</x:f>
        <x:v>46420</x:v>
      </x:c>
      <x:c r="C28" s="415" t="n">
        <x:f>A28-1</x:f>
        <x:v>46426</x:v>
      </x:c>
      <x:c r="D28" s="395"/>
      <x:c r="E28" s="395"/>
      <x:c r="F28" s="395"/>
      <x:c r="G28" s="396"/>
      <x:c r="H28" s="395"/>
      <x:c r="I28" s="416" t="n">
        <x:f>SUMIFS('Support - Ledger'!$D$5:$D$304,'Support - Ledger'!$H$5:$H$304,B28,'Support - Ledger'!$E$5:$E$304,"Posted",'Support - Ledger'!$G$5:$G$304,"Include",'Support - Ledger'!$M$5:$M$304,"Verified")</x:f>
        <x:v>0</x:v>
      </x:c>
      <x:c r="J28" s="416" t="n">
        <x:f>SUMIFS('Support - Ledger'!$D$5:$D$304,'Support - Ledger'!$H$5:$H$304,B28,'Support - Ledger'!$E$5:$E$304,"Pending",'Support - Ledger'!$G$5:$G$304,"Include",'Support - Ledger'!$M$5:$M$304,"Verified")</x:f>
        <x:v>0</x:v>
      </x:c>
      <x:c r="K28" s="416" t="n">
        <x:f>I28+J28</x:f>
        <x:v>0</x:v>
      </x:c>
      <x:c r="L28" s="416" t="str">
        <x:f>IF(H28="","",H28-K28)</x:f>
      </x:c>
      <x:c r="M28" s="396"/>
    </x:row>
    <x:row r="29" ht="22" customHeight="1">
      <x:c r="A29" s="415" t="n">
        <x:v>46434</x:v>
      </x:c>
      <x:c r="B29" s="415" t="n">
        <x:f>A29-7</x:f>
        <x:v>46427</x:v>
      </x:c>
      <x:c r="C29" s="415" t="n">
        <x:f>A29-1</x:f>
        <x:v>46433</x:v>
      </x:c>
      <x:c r="D29" s="395"/>
      <x:c r="E29" s="395"/>
      <x:c r="F29" s="395"/>
      <x:c r="G29" s="396"/>
      <x:c r="H29" s="395"/>
      <x:c r="I29" s="416" t="n">
        <x:f>SUMIFS('Support - Ledger'!$D$5:$D$304,'Support - Ledger'!$H$5:$H$304,B29,'Support - Ledger'!$E$5:$E$304,"Posted",'Support - Ledger'!$G$5:$G$304,"Include",'Support - Ledger'!$M$5:$M$304,"Verified")</x:f>
        <x:v>0</x:v>
      </x:c>
      <x:c r="J29" s="416" t="n">
        <x:f>SUMIFS('Support - Ledger'!$D$5:$D$304,'Support - Ledger'!$H$5:$H$304,B29,'Support - Ledger'!$E$5:$E$304,"Pending",'Support - Ledger'!$G$5:$G$304,"Include",'Support - Ledger'!$M$5:$M$304,"Verified")</x:f>
        <x:v>0</x:v>
      </x:c>
      <x:c r="K29" s="416" t="n">
        <x:f>I29+J29</x:f>
        <x:v>0</x:v>
      </x:c>
      <x:c r="L29" s="416" t="str">
        <x:f>IF(H29="","",H29-K29)</x:f>
      </x:c>
      <x:c r="M29" s="396"/>
    </x:row>
    <x:row r="30" ht="22" customHeight="1">
      <x:c r="A30" s="415" t="n">
        <x:v>46441</x:v>
      </x:c>
      <x:c r="B30" s="415" t="n">
        <x:f>A30-7</x:f>
        <x:v>46434</x:v>
      </x:c>
      <x:c r="C30" s="415" t="n">
        <x:f>A30-1</x:f>
        <x:v>46440</x:v>
      </x:c>
      <x:c r="D30" s="395"/>
      <x:c r="E30" s="395"/>
      <x:c r="F30" s="395"/>
      <x:c r="G30" s="396"/>
      <x:c r="H30" s="395"/>
      <x:c r="I30" s="416" t="n">
        <x:f>SUMIFS('Support - Ledger'!$D$5:$D$304,'Support - Ledger'!$H$5:$H$304,B30,'Support - Ledger'!$E$5:$E$304,"Posted",'Support - Ledger'!$G$5:$G$304,"Include",'Support - Ledger'!$M$5:$M$304,"Verified")</x:f>
        <x:v>0</x:v>
      </x:c>
      <x:c r="J30" s="416" t="n">
        <x:f>SUMIFS('Support - Ledger'!$D$5:$D$304,'Support - Ledger'!$H$5:$H$304,B30,'Support - Ledger'!$E$5:$E$304,"Pending",'Support - Ledger'!$G$5:$G$304,"Include",'Support - Ledger'!$M$5:$M$304,"Verified")</x:f>
        <x:v>0</x:v>
      </x:c>
      <x:c r="K30" s="416" t="n">
        <x:f>I30+J30</x:f>
        <x:v>0</x:v>
      </x:c>
      <x:c r="L30" s="416" t="str">
        <x:f>IF(H30="","",H30-K30)</x:f>
      </x:c>
      <x:c r="M30" s="396"/>
    </x:row>
  </x:sheetData>
  <x:mergeCells>
    <x:mergeCell ref="A1:M1"/>
    <x:mergeCell ref="A2:M2"/>
  </x:mergeCells>
  <x:conditionalFormatting sqref="L5:L30">
    <x:cfRule type="cellIs" dxfId="17" priority="1" operator="lessThan">
      <x:formula>0</x:formula>
    </x:cfRule>
  </x:conditionalFormatting>
  <x:dataValidations count="1">
    <x:dataValidation type="list" sqref="G5:G30">
      <x:formula1>"In progress,Plan created — Sep 9,Data verified — Sep 9,Legacy — not source-audited,✓ Completed,Needs review"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CBD5E1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5" hidden="0" customWidth="1"/>
    <x:col min="3" max="3" width="30" hidden="0" customWidth="1"/>
    <x:col min="4" max="4" width="14" hidden="0" customWidth="1"/>
    <x:col min="5" max="5" width="15" hidden="0" customWidth="1"/>
    <x:col min="6" max="6" width="24" hidden="0" customWidth="1"/>
    <x:col min="7" max="7" width="19" hidden="0" customWidth="1"/>
    <x:col min="8" max="8" width="17" hidden="0" customWidth="1"/>
    <x:col min="9" max="9" width="20" hidden="0" customWidth="1"/>
    <x:col min="10" max="10" width="30" hidden="0" customWidth="1"/>
    <x:col min="11" max="11" width="32" hidden="0" customWidth="1"/>
    <x:col min="12" max="12" width="24" hidden="0" customWidth="1"/>
    <x:col min="13" max="13" width="18" hidden="0" customWidth="1"/>
  </x:cols>
  <x:sheetData>
    <x:row r="1" ht="27" customHeight="1">
      <x:c r="A1" s="509" t="str">
        <x:v>Transaction Ledger</x:v>
      </x:c>
      <x:c r="B1" s="509"/>
      <x:c r="C1" s="509"/>
      <x:c r="D1" s="509"/>
      <x:c r="E1" s="509"/>
      <x:c r="F1" s="509"/>
      <x:c r="G1" s="509"/>
      <x:c r="H1" s="509"/>
      <x:c r="I1" s="509"/>
      <x:c r="J1" s="509"/>
      <x:c r="K1" s="509"/>
      <x:c r="L1" s="509"/>
      <x:c r="M1" s="509"/>
    </x:row>
    <x:row r="2" ht="28" customHeight="1">
      <x:c r="A2" s="377" t="str">
        <x:v>Every transaction must name its archived screenshot and visible section before it can be Verified. Only Verified Include rows feed This Week and History. Never estimate a hard-to-read amount: mark Needs verification and resolve it first.</x:v>
      </x:c>
      <x:c r="B2" s="377"/>
      <x:c r="C2" s="377"/>
      <x:c r="D2" s="377"/>
      <x:c r="E2" s="377"/>
      <x:c r="F2" s="377"/>
      <x:c r="G2" s="377"/>
      <x:c r="H2" s="377"/>
      <x:c r="I2" s="377"/>
      <x:c r="J2" s="377"/>
      <x:c r="K2" s="377"/>
      <x:c r="L2" s="377"/>
      <x:c r="M2" s="377"/>
    </x:row>
    <x:row r="3">
      <x:c r="A3" s="507"/>
      <x:c r="B3" s="507"/>
      <x:c r="C3" s="507"/>
      <x:c r="D3" s="507"/>
      <x:c r="E3" s="507"/>
      <x:c r="F3" s="507"/>
      <x:c r="G3" s="507"/>
      <x:c r="H3" s="507"/>
      <x:c r="I3" s="507"/>
      <x:c r="J3" s="507"/>
      <x:c r="K3" s="507"/>
      <x:c r="L3" s="507"/>
      <x:c r="M3" s="507"/>
    </x:row>
    <x:row r="4">
      <x:c r="A4" s="367" t="str">
        <x:v>Account</x:v>
      </x:c>
      <x:c r="B4" s="368" t="str">
        <x:v>Transaction date</x:v>
      </x:c>
      <x:c r="C4" s="368" t="str">
        <x:v>Description</x:v>
      </x:c>
      <x:c r="D4" s="368" t="str">
        <x:v>Expense amount</x:v>
      </x:c>
      <x:c r="E4" s="368" t="str">
        <x:v>Status</x:v>
      </x:c>
      <x:c r="F4" s="368" t="str">
        <x:v>Budget category</x:v>
      </x:c>
      <x:c r="G4" s="368" t="str">
        <x:v>Treatment</x:v>
      </x:c>
      <x:c r="H4" s="368" t="str">
        <x:v>Week start (Tue)</x:v>
      </x:c>
      <x:c r="I4" s="368" t="str">
        <x:v>Unique key</x:v>
      </x:c>
      <x:c r="J4" s="368" t="str">
        <x:v>Review note</x:v>
      </x:c>
      <x:c r="K4" s="368" t="str">
        <x:v>Source archive</x:v>
      </x:c>
      <x:c r="L4" s="368" t="str">
        <x:v>Visible section</x:v>
      </x:c>
      <x:c r="M4" s="369" t="str">
        <x:v>Verification</x:v>
      </x:c>
    </x:row>
    <x:row r="5">
      <x:c r="A5" s="396" t="str">
        <x:v>Chase</x:v>
      </x:c>
      <x:c r="B5" s="414" t="n">
        <x:v>46259</x:v>
      </x:c>
      <x:c r="C5" s="396" t="str">
        <x:v>CLIP MX*LOCAL SOUVENIR</x:v>
      </x:c>
      <x:c r="D5" s="395" t="n">
        <x:v>115.65</x:v>
      </x:c>
      <x:c r="E5" s="396" t="str">
        <x:v>Posted</x:v>
      </x:c>
      <x:c r="F5" s="396" t="str">
        <x:v>Shopping / personal care</x:v>
      </x:c>
      <x:c r="G5" s="396" t="str">
        <x:v>Include</x:v>
      </x:c>
      <x:c r="H5" s="508" t="n">
        <x:f>IF(B5="","",B5-WEEKDAY(B5-2,1)+1)</x:f>
        <x:v>46259</x:v>
      </x:c>
      <x:c r="I5" s="396" t="str">
        <x:v>chase-2026-08-25-clip-11565</x:v>
      </x:c>
      <x:c r="J5" s="396" t="str">
        <x:v>Visible in Sep. 1 Chase screenshot</x:v>
      </x:c>
      <x:c r="K5" s="396" t="str">
        <x:v>Archived prior-cycle screenshot</x:v>
      </x:c>
      <x:c r="L5" s="396" t="str">
        <x:v>Visible transaction section</x:v>
      </x:c>
      <x:c r="M5" s="396" t="str">
        <x:v>Verified</x:v>
      </x:c>
    </x:row>
    <x:row r="6">
      <x:c r="A6" s="396" t="str">
        <x:v>Chase</x:v>
      </x:c>
      <x:c r="B6" s="414" t="n">
        <x:v>46259</x:v>
      </x:c>
      <x:c r="C6" s="396" t="str">
        <x:v>Payment Thank You</x:v>
      </x:c>
      <x:c r="D6" s="395" t="n">
        <x:v>-140.2</x:v>
      </x:c>
      <x:c r="E6" s="396" t="str">
        <x:v>Posted</x:v>
      </x:c>
      <x:c r="F6" s="396" t="str">
        <x:v>Credit-card payment</x:v>
      </x:c>
      <x:c r="G6" s="396" t="str">
        <x:v>Exclude</x:v>
      </x:c>
      <x:c r="H6" s="508" t="n">
        <x:f>IF(B6="","",B6-WEEKDAY(B6-2,1)+1)</x:f>
        <x:v>46259</x:v>
      </x:c>
      <x:c r="I6" s="396" t="str">
        <x:v>chase-2026-08-25-payment-14020</x:v>
      </x:c>
      <x:c r="J6" s="396" t="str">
        <x:v>Payment transfer; excluded from spending</x:v>
      </x:c>
      <x:c r="K6" s="396" t="str">
        <x:v>Archived prior-cycle screenshot</x:v>
      </x:c>
      <x:c r="L6" s="396" t="str">
        <x:v>Visible transaction section</x:v>
      </x:c>
      <x:c r="M6" s="396" t="str">
        <x:v>Verified</x:v>
      </x:c>
    </x:row>
    <x:row r="7">
      <x:c r="A7" s="396" t="str">
        <x:v>Chase</x:v>
      </x:c>
      <x:c r="B7" s="414" t="n">
        <x:v>46260</x:v>
      </x:c>
      <x:c r="C7" s="396" t="str">
        <x:v>Apple Digital Services</x:v>
      </x:c>
      <x:c r="D7" s="395" t="n">
        <x:v>64.91</x:v>
      </x:c>
      <x:c r="E7" s="396" t="str">
        <x:v>Posted</x:v>
      </x:c>
      <x:c r="F7" s="396" t="str">
        <x:v>Invincibles + other Apple</x:v>
      </x:c>
      <x:c r="G7" s="396" t="str">
        <x:v>Include</x:v>
      </x:c>
      <x:c r="H7" s="508" t="n">
        <x:f>IF(B7="","",B7-WEEKDAY(B7-2,1)+1)</x:f>
        <x:v>46259</x:v>
      </x:c>
      <x:c r="I7" s="396" t="str">
        <x:v>chase-2026-08-26-apple-6491</x:v>
      </x:c>
      <x:c r="J7" s="396" t="str">
        <x:v>Apple charge; not assumed to be YouTube</x:v>
      </x:c>
      <x:c r="K7" s="396" t="str">
        <x:v>Archived prior-cycle screenshot</x:v>
      </x:c>
      <x:c r="L7" s="396" t="str">
        <x:v>Visible transaction section</x:v>
      </x:c>
      <x:c r="M7" s="396" t="str">
        <x:v>Verified</x:v>
      </x:c>
    </x:row>
    <x:row r="8">
      <x:c r="A8" s="396" t="str">
        <x:v>Chase</x:v>
      </x:c>
      <x:c r="B8" s="414" t="n">
        <x:v>46261</x:v>
      </x:c>
      <x:c r="C8" s="396" t="str">
        <x:v>MCWHORTER SERVICE</x:v>
      </x:c>
      <x:c r="D8" s="395" t="n">
        <x:v>216.51</x:v>
      </x:c>
      <x:c r="E8" s="396" t="str">
        <x:v>Posted</x:v>
      </x:c>
      <x:c r="F8" s="396" t="str">
        <x:v>Automotive</x:v>
      </x:c>
      <x:c r="G8" s="396" t="str">
        <x:v>Include</x:v>
      </x:c>
      <x:c r="H8" s="508" t="n">
        <x:f>IF(B8="","",B8-WEEKDAY(B8-2,1)+1)</x:f>
        <x:v>46259</x:v>
      </x:c>
      <x:c r="I8" s="396" t="str">
        <x:v>chase-2026-08-27-mcwhorter-21651</x:v>
      </x:c>
      <x:c r="J8" s="396" t="str">
        <x:v>Track-only category; no weekly target set</x:v>
      </x:c>
      <x:c r="K8" s="396" t="str">
        <x:v>Archived prior-cycle screenshot</x:v>
      </x:c>
      <x:c r="L8" s="396" t="str">
        <x:v>Visible transaction section</x:v>
      </x:c>
      <x:c r="M8" s="396" t="str">
        <x:v>Verified</x:v>
      </x:c>
    </x:row>
    <x:row r="9">
      <x:c r="A9" s="396" t="str">
        <x:v>Chase</x:v>
      </x:c>
      <x:c r="B9" s="414" t="n">
        <x:v>46261</x:v>
      </x:c>
      <x:c r="C9" s="396" t="str">
        <x:v>GAS FUSION</x:v>
      </x:c>
      <x:c r="D9" s="395" t="n">
        <x:v>5.03</x:v>
      </x:c>
      <x:c r="E9" s="396" t="str">
        <x:v>Posted</x:v>
      </x:c>
      <x:c r="F9" s="396" t="str">
        <x:v>Fuel</x:v>
      </x:c>
      <x:c r="G9" s="396" t="str">
        <x:v>Include</x:v>
      </x:c>
      <x:c r="H9" s="508" t="n">
        <x:f>IF(B9="","",B9-WEEKDAY(B9-2,1)+1)</x:f>
        <x:v>46259</x:v>
      </x:c>
      <x:c r="I9" s="396" t="str">
        <x:v>chase-2026-08-27-gasfusion-503</x:v>
      </x:c>
      <x:c r="J9" s="396" t="str">
        <x:v>Visible in Sep. 1 Chase screenshot</x:v>
      </x:c>
      <x:c r="K9" s="396" t="str">
        <x:v>Archived prior-cycle screenshot</x:v>
      </x:c>
      <x:c r="L9" s="396" t="str">
        <x:v>Visible transaction section</x:v>
      </x:c>
      <x:c r="M9" s="396" t="str">
        <x:v>Verified</x:v>
      </x:c>
    </x:row>
    <x:row r="10">
      <x:c r="A10" s="396" t="str">
        <x:v>Chase</x:v>
      </x:c>
      <x:c r="B10" s="414" t="n">
        <x:v>46261</x:v>
      </x:c>
      <x:c r="C10" s="396" t="str">
        <x:v>Starbucks</x:v>
      </x:c>
      <x:c r="D10" s="395" t="n">
        <x:v>12.91</x:v>
      </x:c>
      <x:c r="E10" s="396" t="str">
        <x:v>Posted</x:v>
      </x:c>
      <x:c r="F10" s="396" t="str">
        <x:v>Starbucks</x:v>
      </x:c>
      <x:c r="G10" s="396" t="str">
        <x:v>Include</x:v>
      </x:c>
      <x:c r="H10" s="508" t="n">
        <x:f>IF(B10="","",B10-WEEKDAY(B10-2,1)+1)</x:f>
        <x:v>46259</x:v>
      </x:c>
      <x:c r="I10" s="396" t="str">
        <x:v>chase-2026-08-27-starbucks-1291</x:v>
      </x:c>
      <x:c r="J10" s="396" t="str">
        <x:v>Visible in Sep. 1 Chase screenshot</x:v>
      </x:c>
      <x:c r="K10" s="396" t="str">
        <x:v>Archived prior-cycle screenshot</x:v>
      </x:c>
      <x:c r="L10" s="396" t="str">
        <x:v>Visible transaction section</x:v>
      </x:c>
      <x:c r="M10" s="396" t="str">
        <x:v>Verified</x:v>
      </x:c>
    </x:row>
    <x:row r="11">
      <x:c r="A11" s="396" t="str">
        <x:v>Chase</x:v>
      </x:c>
      <x:c r="B11" s="414" t="n">
        <x:v>46261</x:v>
      </x:c>
      <x:c r="C11" s="396" t="str">
        <x:v>Royal Caribbean</x:v>
      </x:c>
      <x:c r="D11" s="395" t="n">
        <x:v>200</x:v>
      </x:c>
      <x:c r="E11" s="396" t="str">
        <x:v>Posted</x:v>
      </x:c>
      <x:c r="F11" s="396" t="str">
        <x:v>Travel / cruise</x:v>
      </x:c>
      <x:c r="G11" s="396" t="str">
        <x:v>Include</x:v>
      </x:c>
      <x:c r="H11" s="508" t="n">
        <x:f>IF(B11="","",B11-WEEKDAY(B11-2,1)+1)</x:f>
        <x:v>46259</x:v>
      </x:c>
      <x:c r="I11" s="396" t="str">
        <x:v>chase-2026-08-27-royalcaribbean-20000</x:v>
      </x:c>
      <x:c r="J11" s="396" t="str">
        <x:v>Track-only category; no weekly target set</x:v>
      </x:c>
      <x:c r="K11" s="396" t="str">
        <x:v>Archived prior-cycle screenshot</x:v>
      </x:c>
      <x:c r="L11" s="396" t="str">
        <x:v>Visible transaction section</x:v>
      </x:c>
      <x:c r="M11" s="396" t="str">
        <x:v>Verified</x:v>
      </x:c>
    </x:row>
    <x:row r="12">
      <x:c r="A12" s="396" t="str">
        <x:v>Chase</x:v>
      </x:c>
      <x:c r="B12" s="414" t="n">
        <x:v>46261</x:v>
      </x:c>
      <x:c r="C12" s="396" t="str">
        <x:v>Payment Thank You</x:v>
      </x:c>
      <x:c r="D12" s="395" t="n">
        <x:v>-139</x:v>
      </x:c>
      <x:c r="E12" s="396" t="str">
        <x:v>Posted</x:v>
      </x:c>
      <x:c r="F12" s="396" t="str">
        <x:v>Credit-card payment</x:v>
      </x:c>
      <x:c r="G12" s="396" t="str">
        <x:v>Exclude</x:v>
      </x:c>
      <x:c r="H12" s="508" t="n">
        <x:f>IF(B12="","",B12-WEEKDAY(B12-2,1)+1)</x:f>
        <x:v>46259</x:v>
      </x:c>
      <x:c r="I12" s="396" t="str">
        <x:v>chase-2026-08-27-payment-13900</x:v>
      </x:c>
      <x:c r="J12" s="396" t="str">
        <x:v>Payment transfer; excluded from spending</x:v>
      </x:c>
      <x:c r="K12" s="396" t="str">
        <x:v>Archived prior-cycle screenshot</x:v>
      </x:c>
      <x:c r="L12" s="396" t="str">
        <x:v>Visible transaction section</x:v>
      </x:c>
      <x:c r="M12" s="396" t="str">
        <x:v>Verified</x:v>
      </x:c>
    </x:row>
    <x:row r="13">
      <x:c r="A13" s="396" t="str">
        <x:v>Chase</x:v>
      </x:c>
      <x:c r="B13" s="414" t="n">
        <x:v>46261</x:v>
      </x:c>
      <x:c r="C13" s="396" t="str">
        <x:v>INVINCIBLE APPCHARGE</x:v>
      </x:c>
      <x:c r="D13" s="395" t="n">
        <x:v>18.35</x:v>
      </x:c>
      <x:c r="E13" s="396" t="str">
        <x:v>Posted</x:v>
      </x:c>
      <x:c r="F13" s="396" t="str">
        <x:v>Invincibles + other Apple</x:v>
      </x:c>
      <x:c r="G13" s="396" t="str">
        <x:v>Include</x:v>
      </x:c>
      <x:c r="H13" s="508" t="n">
        <x:f>IF(B13="","",B13-WEEKDAY(B13-2,1)+1)</x:f>
        <x:v>46259</x:v>
      </x:c>
      <x:c r="I13" s="396" t="str">
        <x:v>chase-2026-08-27-invincible-1835</x:v>
      </x:c>
      <x:c r="J13" s="396" t="str">
        <x:v>Visible in Sep. 1 Chase screenshot</x:v>
      </x:c>
      <x:c r="K13" s="396" t="str">
        <x:v>Archived prior-cycle screenshot</x:v>
      </x:c>
      <x:c r="L13" s="396" t="str">
        <x:v>Visible transaction section</x:v>
      </x:c>
      <x:c r="M13" s="396" t="str">
        <x:v>Verified</x:v>
      </x:c>
    </x:row>
    <x:row r="14">
      <x:c r="A14" s="396" t="str">
        <x:v>Chase</x:v>
      </x:c>
      <x:c r="B14" s="414" t="n">
        <x:v>46262</x:v>
      </x:c>
      <x:c r="C14" s="396" t="str">
        <x:v>INVINCIBLE APPCHARGE</x:v>
      </x:c>
      <x:c r="D14" s="395" t="n">
        <x:v>18.35</x:v>
      </x:c>
      <x:c r="E14" s="396" t="str">
        <x:v>Posted</x:v>
      </x:c>
      <x:c r="F14" s="396" t="str">
        <x:v>Invincibles + other Apple</x:v>
      </x:c>
      <x:c r="G14" s="396" t="str">
        <x:v>Include</x:v>
      </x:c>
      <x:c r="H14" s="508" t="n">
        <x:f>IF(B14="","",B14-WEEKDAY(B14-2,1)+1)</x:f>
        <x:v>46259</x:v>
      </x:c>
      <x:c r="I14" s="396" t="str">
        <x:v>chase-2026-08-28-invincible-1835</x:v>
      </x:c>
      <x:c r="J14" s="396" t="str">
        <x:v>Visible in Sep. 1 Chase screenshot</x:v>
      </x:c>
      <x:c r="K14" s="396" t="str">
        <x:v>Archived prior-cycle screenshot</x:v>
      </x:c>
      <x:c r="L14" s="396" t="str">
        <x:v>Visible transaction section</x:v>
      </x:c>
      <x:c r="M14" s="396" t="str">
        <x:v>Verified</x:v>
      </x:c>
    </x:row>
    <x:row r="15">
      <x:c r="A15" s="396" t="str">
        <x:v>Chase</x:v>
      </x:c>
      <x:c r="B15" s="414" t="n">
        <x:v>46262</x:v>
      </x:c>
      <x:c r="C15" s="396" t="str">
        <x:v>INVINCIBLE APPCHARGE</x:v>
      </x:c>
      <x:c r="D15" s="395" t="n">
        <x:v>36.71</x:v>
      </x:c>
      <x:c r="E15" s="396" t="str">
        <x:v>Posted</x:v>
      </x:c>
      <x:c r="F15" s="396" t="str">
        <x:v>Invincibles + other Apple</x:v>
      </x:c>
      <x:c r="G15" s="396" t="str">
        <x:v>Include</x:v>
      </x:c>
      <x:c r="H15" s="508" t="n">
        <x:f>IF(B15="","",B15-WEEKDAY(B15-2,1)+1)</x:f>
        <x:v>46259</x:v>
      </x:c>
      <x:c r="I15" s="396" t="str">
        <x:v>chase-2026-08-28-invincible-3671</x:v>
      </x:c>
      <x:c r="J15" s="396" t="str">
        <x:v>Visible in Sep. 1 Chase screenshot</x:v>
      </x:c>
      <x:c r="K15" s="396" t="str">
        <x:v>Archived prior-cycle screenshot</x:v>
      </x:c>
      <x:c r="L15" s="396" t="str">
        <x:v>Visible transaction section</x:v>
      </x:c>
      <x:c r="M15" s="396" t="str">
        <x:v>Verified</x:v>
      </x:c>
    </x:row>
    <x:row r="16">
      <x:c r="A16" s="396" t="str">
        <x:v>Chase</x:v>
      </x:c>
      <x:c r="B16" s="414" t="n">
        <x:v>46262</x:v>
      </x:c>
      <x:c r="C16" s="396" t="str">
        <x:v>Royal Caribbean</x:v>
      </x:c>
      <x:c r="D16" s="395" t="n">
        <x:v>382.18</x:v>
      </x:c>
      <x:c r="E16" s="396" t="str">
        <x:v>Posted</x:v>
      </x:c>
      <x:c r="F16" s="396" t="str">
        <x:v>Travel / cruise</x:v>
      </x:c>
      <x:c r="G16" s="396" t="str">
        <x:v>Include</x:v>
      </x:c>
      <x:c r="H16" s="508" t="n">
        <x:f>IF(B16="","",B16-WEEKDAY(B16-2,1)+1)</x:f>
        <x:v>46259</x:v>
      </x:c>
      <x:c r="I16" s="396" t="str">
        <x:v>chase-2026-08-28-royalcaribbean-38218</x:v>
      </x:c>
      <x:c r="J16" s="396" t="str">
        <x:v>Track-only category; no weekly target set</x:v>
      </x:c>
      <x:c r="K16" s="396" t="str">
        <x:v>Archived prior-cycle screenshot</x:v>
      </x:c>
      <x:c r="L16" s="396" t="str">
        <x:v>Visible transaction section</x:v>
      </x:c>
      <x:c r="M16" s="396" t="str">
        <x:v>Verified</x:v>
      </x:c>
    </x:row>
    <x:row r="17">
      <x:c r="A17" s="396" t="str">
        <x:v>Chase</x:v>
      </x:c>
      <x:c r="B17" s="414" t="n">
        <x:v>46262</x:v>
      </x:c>
      <x:c r="C17" s="396" t="str">
        <x:v>Apple Digital Services</x:v>
      </x:c>
      <x:c r="D17" s="395" t="n">
        <x:v>53</x:v>
      </x:c>
      <x:c r="E17" s="396" t="str">
        <x:v>Posted</x:v>
      </x:c>
      <x:c r="F17" s="396" t="str">
        <x:v>Invincibles + other Apple</x:v>
      </x:c>
      <x:c r="G17" s="396" t="str">
        <x:v>Include</x:v>
      </x:c>
      <x:c r="H17" s="508" t="n">
        <x:f>IF(B17="","",B17-WEEKDAY(B17-2,1)+1)</x:f>
        <x:v>46259</x:v>
      </x:c>
      <x:c r="I17" s="396" t="str">
        <x:v>chase-2026-08-28-apple-5300</x:v>
      </x:c>
      <x:c r="J17" s="396" t="str">
        <x:v>Apple charge; not assumed to be YouTube</x:v>
      </x:c>
      <x:c r="K17" s="396" t="str">
        <x:v>Archived prior-cycle screenshot</x:v>
      </x:c>
      <x:c r="L17" s="396" t="str">
        <x:v>Visible transaction section</x:v>
      </x:c>
      <x:c r="M17" s="396" t="str">
        <x:v>Verified</x:v>
      </x:c>
    </x:row>
    <x:row r="18">
      <x:c r="A18" s="396" t="str">
        <x:v>Chase</x:v>
      </x:c>
      <x:c r="B18" s="414" t="n">
        <x:v>46263</x:v>
      </x:c>
      <x:c r="C18" s="396" t="str">
        <x:v>Payment Thank You</x:v>
      </x:c>
      <x:c r="D18" s="395" t="n">
        <x:v>-952.91</x:v>
      </x:c>
      <x:c r="E18" s="396" t="str">
        <x:v>Posted</x:v>
      </x:c>
      <x:c r="F18" s="396" t="str">
        <x:v>Credit-card payment</x:v>
      </x:c>
      <x:c r="G18" s="396" t="str">
        <x:v>Exclude</x:v>
      </x:c>
      <x:c r="H18" s="508" t="n">
        <x:f>IF(B18="","",B18-WEEKDAY(B18-2,1)+1)</x:f>
        <x:v>46259</x:v>
      </x:c>
      <x:c r="I18" s="396" t="str">
        <x:v>chase-2026-08-29-payment-95291</x:v>
      </x:c>
      <x:c r="J18" s="396" t="str">
        <x:v>Payment transfer; excluded from spending</x:v>
      </x:c>
      <x:c r="K18" s="396" t="str">
        <x:v>Archived prior-cycle screenshot</x:v>
      </x:c>
      <x:c r="L18" s="396" t="str">
        <x:v>Visible transaction section</x:v>
      </x:c>
      <x:c r="M18" s="396" t="str">
        <x:v>Verified</x:v>
      </x:c>
    </x:row>
    <x:row r="19">
      <x:c r="A19" s="396" t="str">
        <x:v>Chase</x:v>
      </x:c>
      <x:c r="B19" s="414" t="n">
        <x:v>46263</x:v>
      </x:c>
      <x:c r="C19" s="396" t="str">
        <x:v>H-E-B</x:v>
      </x:c>
      <x:c r="D19" s="395" t="n">
        <x:v>131.09</x:v>
      </x:c>
      <x:c r="E19" s="396" t="str">
        <x:v>Posted</x:v>
      </x:c>
      <x:c r="F19" s="396" t="str">
        <x:v>H-E-B / groceries</x:v>
      </x:c>
      <x:c r="G19" s="396" t="str">
        <x:v>Include</x:v>
      </x:c>
      <x:c r="H19" s="508" t="n">
        <x:f>IF(B19="","",B19-WEEKDAY(B19-2,1)+1)</x:f>
        <x:v>46259</x:v>
      </x:c>
      <x:c r="I19" s="396" t="str">
        <x:v>chase-2026-08-29-heb-13109</x:v>
      </x:c>
      <x:c r="J19" s="396" t="str">
        <x:v>Visible in Sep. 1 Chase screenshot</x:v>
      </x:c>
      <x:c r="K19" s="396" t="str">
        <x:v>Archived prior-cycle screenshot</x:v>
      </x:c>
      <x:c r="L19" s="396" t="str">
        <x:v>Visible transaction section</x:v>
      </x:c>
      <x:c r="M19" s="396" t="str">
        <x:v>Verified</x:v>
      </x:c>
    </x:row>
    <x:row r="20">
      <x:c r="A20" s="396" t="str">
        <x:v>Chase</x:v>
      </x:c>
      <x:c r="B20" s="414" t="n">
        <x:v>46263</x:v>
      </x:c>
      <x:c r="C20" s="396" t="str">
        <x:v>DoorDash McDonald's</x:v>
      </x:c>
      <x:c r="D20" s="395" t="n">
        <x:v>30.53</x:v>
      </x:c>
      <x:c r="E20" s="396" t="str">
        <x:v>Posted</x:v>
      </x:c>
      <x:c r="F20" s="396" t="str">
        <x:v>DoorDash</x:v>
      </x:c>
      <x:c r="G20" s="396" t="str">
        <x:v>Include</x:v>
      </x:c>
      <x:c r="H20" s="508" t="n">
        <x:f>IF(B20="","",B20-WEEKDAY(B20-2,1)+1)</x:f>
        <x:v>46259</x:v>
      </x:c>
      <x:c r="I20" s="396" t="str">
        <x:v>chase-2026-08-29-doordash-3053</x:v>
      </x:c>
      <x:c r="J20" s="396" t="str">
        <x:v>Visible in Sep. 1 Chase screenshot</x:v>
      </x:c>
      <x:c r="K20" s="396" t="str">
        <x:v>Archived prior-cycle screenshot</x:v>
      </x:c>
      <x:c r="L20" s="396" t="str">
        <x:v>Visible transaction section</x:v>
      </x:c>
      <x:c r="M20" s="396" t="str">
        <x:v>Verified</x:v>
      </x:c>
    </x:row>
    <x:row r="21">
      <x:c r="A21" s="396" t="str">
        <x:v>Chase</x:v>
      </x:c>
      <x:c r="B21" s="414" t="n">
        <x:v>46263</x:v>
      </x:c>
      <x:c r="C21" s="396" t="str">
        <x:v>COASTAL CUTS GROOMING</x:v>
      </x:c>
      <x:c r="D21" s="395" t="n">
        <x:v>102.35</x:v>
      </x:c>
      <x:c r="E21" s="396" t="str">
        <x:v>Posted</x:v>
      </x:c>
      <x:c r="F21" s="396" t="str">
        <x:v>Pet costs</x:v>
      </x:c>
      <x:c r="G21" s="396" t="str">
        <x:v>Include</x:v>
      </x:c>
      <x:c r="H21" s="508" t="n">
        <x:f>IF(B21="","",B21-WEEKDAY(B21-2,1)+1)</x:f>
        <x:v>46259</x:v>
      </x:c>
      <x:c r="I21" s="396" t="str">
        <x:v>chase-2026-08-29-coastalcuts-10235</x:v>
      </x:c>
      <x:c r="J21" s="396" t="str">
        <x:v>Dog grooming</x:v>
      </x:c>
      <x:c r="K21" s="396" t="str">
        <x:v>Archived prior-cycle screenshot</x:v>
      </x:c>
      <x:c r="L21" s="396" t="str">
        <x:v>Visible transaction section</x:v>
      </x:c>
      <x:c r="M21" s="396" t="str">
        <x:v>Verified</x:v>
      </x:c>
    </x:row>
    <x:row r="22">
      <x:c r="A22" s="396" t="str">
        <x:v>Chase</x:v>
      </x:c>
      <x:c r="B22" s="414" t="n">
        <x:v>46263</x:v>
      </x:c>
      <x:c r="C22" s="396" t="str">
        <x:v>Direct Energy</x:v>
      </x:c>
      <x:c r="D22" s="395" t="n">
        <x:v>65.72</x:v>
      </x:c>
      <x:c r="E22" s="396" t="str">
        <x:v>Posted</x:v>
      </x:c>
      <x:c r="F22" s="396" t="str">
        <x:v>Electricity</x:v>
      </x:c>
      <x:c r="G22" s="396" t="str">
        <x:v>Include</x:v>
      </x:c>
      <x:c r="H22" s="508" t="n">
        <x:f>IF(B22="","",B22-WEEKDAY(B22-2,1)+1)</x:f>
        <x:v>46259</x:v>
      </x:c>
      <x:c r="I22" s="396" t="str">
        <x:v>chase-2026-08-29-directenergy-6572</x:v>
      </x:c>
      <x:c r="J22" s="396" t="str">
        <x:v>Visible in Sep. 1 Chase screenshot</x:v>
      </x:c>
      <x:c r="K22" s="396" t="str">
        <x:v>Archived prior-cycle screenshot</x:v>
      </x:c>
      <x:c r="L22" s="396" t="str">
        <x:v>Visible transaction section</x:v>
      </x:c>
      <x:c r="M22" s="396" t="str">
        <x:v>Verified</x:v>
      </x:c>
    </x:row>
    <x:row r="23">
      <x:c r="A23" s="396" t="str">
        <x:v>Chase</x:v>
      </x:c>
      <x:c r="B23" s="414" t="n">
        <x:v>46263</x:v>
      </x:c>
      <x:c r="C23" s="396" t="str">
        <x:v>ARKPERFORMA</x:v>
      </x:c>
      <x:c r="D23" s="395" t="n">
        <x:v>52.95</x:v>
      </x:c>
      <x:c r="E23" s="396" t="str">
        <x:v>Posted</x:v>
      </x:c>
      <x:c r="F23" s="396" t="str">
        <x:v>Automotive</x:v>
      </x:c>
      <x:c r="G23" s="396" t="str">
        <x:v>Include</x:v>
      </x:c>
      <x:c r="H23" s="508" t="n">
        <x:f>IF(B23="","",B23-WEEKDAY(B23-2,1)+1)</x:f>
        <x:v>46259</x:v>
      </x:c>
      <x:c r="I23" s="396" t="str">
        <x:v>chase-2026-08-29-arkperforma-5295</x:v>
      </x:c>
      <x:c r="J23" s="396" t="str">
        <x:v>Track-only category; no weekly target set</x:v>
      </x:c>
      <x:c r="K23" s="396" t="str">
        <x:v>Archived prior-cycle screenshot</x:v>
      </x:c>
      <x:c r="L23" s="396" t="str">
        <x:v>Visible transaction section</x:v>
      </x:c>
      <x:c r="M23" s="396" t="str">
        <x:v>Verified</x:v>
      </x:c>
    </x:row>
    <x:row r="24">
      <x:c r="A24" s="396" t="str">
        <x:v>Chase</x:v>
      </x:c>
      <x:c r="B24" s="414" t="n">
        <x:v>46263</x:v>
      </x:c>
      <x:c r="C24" s="396" t="str">
        <x:v>Starbucks</x:v>
      </x:c>
      <x:c r="D24" s="395" t="n">
        <x:v>5.9</x:v>
      </x:c>
      <x:c r="E24" s="396" t="str">
        <x:v>Posted</x:v>
      </x:c>
      <x:c r="F24" s="396" t="str">
        <x:v>Starbucks</x:v>
      </x:c>
      <x:c r="G24" s="396" t="str">
        <x:v>Include</x:v>
      </x:c>
      <x:c r="H24" s="508" t="n">
        <x:f>IF(B24="","",B24-WEEKDAY(B24-2,1)+1)</x:f>
        <x:v>46259</x:v>
      </x:c>
      <x:c r="I24" s="396" t="str">
        <x:v>chase-2026-08-29-starbucks-590</x:v>
      </x:c>
      <x:c r="J24" s="396" t="str">
        <x:v>Visible in Sep. 1 Chase screenshot</x:v>
      </x:c>
      <x:c r="K24" s="396" t="str">
        <x:v>Archived prior-cycle screenshot</x:v>
      </x:c>
      <x:c r="L24" s="396" t="str">
        <x:v>Visible transaction section</x:v>
      </x:c>
      <x:c r="M24" s="396" t="str">
        <x:v>Verified</x:v>
      </x:c>
    </x:row>
    <x:row r="25">
      <x:c r="A25" s="396" t="str">
        <x:v>Chase</x:v>
      </x:c>
      <x:c r="B25" s="414" t="n">
        <x:v>46264</x:v>
      </x:c>
      <x:c r="C25" s="396" t="str">
        <x:v>Apple Digital Services</x:v>
      </x:c>
      <x:c r="D25" s="395" t="n">
        <x:v>0.99</x:v>
      </x:c>
      <x:c r="E25" s="396" t="str">
        <x:v>Posted</x:v>
      </x:c>
      <x:c r="F25" s="396" t="str">
        <x:v>Invincibles + other Apple</x:v>
      </x:c>
      <x:c r="G25" s="396" t="str">
        <x:v>Include</x:v>
      </x:c>
      <x:c r="H25" s="508" t="n">
        <x:f>IF(B25="","",B25-WEEKDAY(B25-2,1)+1)</x:f>
        <x:v>46259</x:v>
      </x:c>
      <x:c r="I25" s="396" t="str">
        <x:v>chase-2026-08-30-apple-099</x:v>
      </x:c>
      <x:c r="J25" s="396" t="str">
        <x:v>Apple charge; not assumed to be YouTube</x:v>
      </x:c>
      <x:c r="K25" s="396" t="str">
        <x:v>Archived prior-cycle screenshot</x:v>
      </x:c>
      <x:c r="L25" s="396" t="str">
        <x:v>Visible transaction section</x:v>
      </x:c>
      <x:c r="M25" s="396" t="str">
        <x:v>Verified</x:v>
      </x:c>
    </x:row>
    <x:row r="26">
      <x:c r="A26" s="396" t="str">
        <x:v>Chase</x:v>
      </x:c>
      <x:c r="B26" s="414" t="n">
        <x:v>46265</x:v>
      </x:c>
      <x:c r="C26" s="396" t="str">
        <x:v>Payment Thank You</x:v>
      </x:c>
      <x:c r="D26" s="395" t="n">
        <x:v>-988.61</x:v>
      </x:c>
      <x:c r="E26" s="396" t="str">
        <x:v>Posted</x:v>
      </x:c>
      <x:c r="F26" s="396" t="str">
        <x:v>Credit-card payment</x:v>
      </x:c>
      <x:c r="G26" s="396" t="str">
        <x:v>Exclude</x:v>
      </x:c>
      <x:c r="H26" s="508" t="n">
        <x:f>IF(B26="","",B26-WEEKDAY(B26-2,1)+1)</x:f>
        <x:v>46259</x:v>
      </x:c>
      <x:c r="I26" s="396" t="str">
        <x:v>chase-2026-08-31-payment-98861</x:v>
      </x:c>
      <x:c r="J26" s="396" t="str">
        <x:v>Payment transfer; excluded from spending</x:v>
      </x:c>
      <x:c r="K26" s="396" t="str">
        <x:v>Archived prior-cycle screenshot</x:v>
      </x:c>
      <x:c r="L26" s="396" t="str">
        <x:v>Visible transaction section</x:v>
      </x:c>
      <x:c r="M26" s="396" t="str">
        <x:v>Verified</x:v>
      </x:c>
    </x:row>
    <x:row r="27">
      <x:c r="A27" s="396" t="str">
        <x:v>Chase</x:v>
      </x:c>
      <x:c r="B27" s="414" t="n">
        <x:v>46265</x:v>
      </x:c>
      <x:c r="C27" s="396" t="str">
        <x:v>DMC TBC</x:v>
      </x:c>
      <x:c r="D27" s="395" t="n">
        <x:v>5.08</x:v>
      </x:c>
      <x:c r="E27" s="396" t="str">
        <x:v>Pending</x:v>
      </x:c>
      <x:c r="F27" s="396" t="str">
        <x:v>Education / school supplies</x:v>
      </x:c>
      <x:c r="G27" s="396" t="str">
        <x:v>Include</x:v>
      </x:c>
      <x:c r="H27" s="508" t="n">
        <x:f>IF(B27="","",B27-WEEKDAY(B27-2,1)+1)</x:f>
        <x:v>46259</x:v>
      </x:c>
      <x:c r="I27" s="396" t="str">
        <x:v>chase-2026-08-31-dmctbc-508</x:v>
      </x:c>
      <x:c r="J27" s="396" t="str">
        <x:v>Scantron sheets for wife's school semester; track-only category</x:v>
      </x:c>
      <x:c r="K27" s="396" t="str">
        <x:v>Archived prior-cycle screenshot</x:v>
      </x:c>
      <x:c r="L27" s="396" t="str">
        <x:v>Visible transaction section</x:v>
      </x:c>
      <x:c r="M27" s="396" t="str">
        <x:v>Verified</x:v>
      </x:c>
    </x:row>
    <x:row r="28">
      <x:c r="A28" s="396" t="str">
        <x:v>Chase</x:v>
      </x:c>
      <x:c r="B28" s="414" t="n">
        <x:v>46265</x:v>
      </x:c>
      <x:c r="C28" s="396" t="str">
        <x:v>Starbucks</x:v>
      </x:c>
      <x:c r="D28" s="395" t="n">
        <x:v>6.55</x:v>
      </x:c>
      <x:c r="E28" s="396" t="str">
        <x:v>Pending</x:v>
      </x:c>
      <x:c r="F28" s="396" t="str">
        <x:v>Starbucks</x:v>
      </x:c>
      <x:c r="G28" s="396" t="str">
        <x:v>Include</x:v>
      </x:c>
      <x:c r="H28" s="508" t="n">
        <x:f>IF(B28="","",B28-WEEKDAY(B28-2,1)+1)</x:f>
        <x:v>46259</x:v>
      </x:c>
      <x:c r="I28" s="396" t="str">
        <x:v>chase-2026-08-31-starbucks-655</x:v>
      </x:c>
      <x:c r="J28" s="396" t="str">
        <x:v>Pending in Sep. 1 Chase screenshot</x:v>
      </x:c>
      <x:c r="K28" s="396" t="str">
        <x:v>Archived prior-cycle screenshot</x:v>
      </x:c>
      <x:c r="L28" s="396" t="str">
        <x:v>Visible transaction section</x:v>
      </x:c>
      <x:c r="M28" s="396" t="str">
        <x:v>Verified</x:v>
      </x:c>
    </x:row>
    <x:row r="29">
      <x:c r="A29" s="396" t="str">
        <x:v>Chase</x:v>
      </x:c>
      <x:c r="B29" s="414" t="n">
        <x:v>46266</x:v>
      </x:c>
      <x:c r="C29" s="396" t="str">
        <x:v>Apple Digital Services</x:v>
      </x:c>
      <x:c r="D29" s="395" t="n">
        <x:v>32.44</x:v>
      </x:c>
      <x:c r="E29" s="396" t="str">
        <x:v>Posted</x:v>
      </x:c>
      <x:c r="F29" s="396" t="str">
        <x:v>Invincibles + other Apple</x:v>
      </x:c>
      <x:c r="G29" s="396" t="str">
        <x:v>Include</x:v>
      </x:c>
      <x:c r="H29" s="508" t="n">
        <x:f>IF(B29="","",B29-WEEKDAY(B29-2,1)+1)</x:f>
        <x:v>46266</x:v>
      </x:c>
      <x:c r="I29" s="396" t="str">
        <x:v>chase-2026-09-01-apple-3244</x:v>
      </x:c>
      <x:c r="J29" s="396" t="str">
        <x:v>Posted under Sep. 1 in the Sep. 9 Chase activity; not assumed to be YouTube</x:v>
      </x:c>
      <x:c r="K29" s="396" t="str">
        <x:v>Chase activity — Sep 9</x:v>
      </x:c>
      <x:c r="L29" s="396" t="str">
        <x:v>Posted activity</x:v>
      </x:c>
      <x:c r="M29" s="396" t="str">
        <x:v>Verified</x:v>
      </x:c>
    </x:row>
    <x:row r="30">
      <x:c r="A30" s="396" t="str">
        <x:v>Chase</x:v>
      </x:c>
      <x:c r="B30" s="414" t="n">
        <x:v>46266</x:v>
      </x:c>
      <x:c r="C30" s="396" t="str">
        <x:v>365 MARKET</x:v>
      </x:c>
      <x:c r="D30" s="395" t="n">
        <x:v>6.91</x:v>
      </x:c>
      <x:c r="E30" s="396" t="str">
        <x:v>Posted</x:v>
      </x:c>
      <x:c r="F30" s="396" t="str">
        <x:v>Work snacks</x:v>
      </x:c>
      <x:c r="G30" s="396" t="str">
        <x:v>Include</x:v>
      </x:c>
      <x:c r="H30" s="508" t="n">
        <x:f>IF(B30="","",B30-WEEKDAY(B30-2,1)+1)</x:f>
        <x:v>46266</x:v>
      </x:c>
      <x:c r="I30" s="396" t="str">
        <x:v>chase-2026-09-01-365-691</x:v>
      </x:c>
      <x:c r="J30" s="396" t="str">
        <x:v>Posted in Sep. 9 Chase activity</x:v>
      </x:c>
      <x:c r="K30" s="396" t="str">
        <x:v>Chase activity — Sep 9</x:v>
      </x:c>
      <x:c r="L30" s="396" t="str">
        <x:v>Posted activity</x:v>
      </x:c>
      <x:c r="M30" s="396" t="str">
        <x:v>Verified</x:v>
      </x:c>
    </x:row>
    <x:row r="31">
      <x:c r="A31" s="396" t="str">
        <x:v>Chase</x:v>
      </x:c>
      <x:c r="B31" s="414" t="n">
        <x:v>46266</x:v>
      </x:c>
      <x:c r="C31" s="396" t="str">
        <x:v>Target</x:v>
      </x:c>
      <x:c r="D31" s="395" t="n">
        <x:v>-71.46</x:v>
      </x:c>
      <x:c r="E31" s="396" t="str">
        <x:v>Posted</x:v>
      </x:c>
      <x:c r="F31" s="396" t="str">
        <x:v>Shopping / personal care</x:v>
      </x:c>
      <x:c r="G31" s="396" t="str">
        <x:v>Include</x:v>
      </x:c>
      <x:c r="H31" s="508" t="n">
        <x:f>IF(B31="","",B31-WEEKDAY(B31-2,1)+1)</x:f>
        <x:v>46266</x:v>
      </x:c>
      <x:c r="I31" s="396" t="str">
        <x:v>chase-2026-09-01-target-refund-7146</x:v>
      </x:c>
      <x:c r="J31" s="396" t="str">
        <x:v>Posted refund in Sep. 9 Chase activity</x:v>
      </x:c>
      <x:c r="K31" s="396" t="str">
        <x:v>Chase activity — Sep 9</x:v>
      </x:c>
      <x:c r="L31" s="396" t="str">
        <x:v>Posted activity</x:v>
      </x:c>
      <x:c r="M31" s="396" t="str">
        <x:v>Verified</x:v>
      </x:c>
    </x:row>
    <x:row r="32">
      <x:c r="A32" s="396" t="str">
        <x:v>Chase</x:v>
      </x:c>
      <x:c r="B32" s="414" t="n">
        <x:v>46266</x:v>
      </x:c>
      <x:c r="C32" s="396" t="str">
        <x:v>365 MARKET</x:v>
      </x:c>
      <x:c r="D32" s="395" t="n">
        <x:v>2.36</x:v>
      </x:c>
      <x:c r="E32" s="396" t="str">
        <x:v>Posted</x:v>
      </x:c>
      <x:c r="F32" s="396" t="str">
        <x:v>Work snacks</x:v>
      </x:c>
      <x:c r="G32" s="396" t="str">
        <x:v>Include</x:v>
      </x:c>
      <x:c r="H32" s="508" t="n">
        <x:f>IF(B32="","",B32-WEEKDAY(B32-2,1)+1)</x:f>
        <x:v>46266</x:v>
      </x:c>
      <x:c r="I32" s="396" t="str">
        <x:v>chase-2026-09-01-365-236</x:v>
      </x:c>
      <x:c r="J32" s="396" t="str">
        <x:v>Posted in Sep. 9 Chase activity</x:v>
      </x:c>
      <x:c r="K32" s="396" t="str">
        <x:v>Chase activity — Sep 9</x:v>
      </x:c>
      <x:c r="L32" s="396" t="str">
        <x:v>Posted activity</x:v>
      </x:c>
      <x:c r="M32" s="396" t="str">
        <x:v>Verified</x:v>
      </x:c>
    </x:row>
    <x:row r="33">
      <x:c r="A33" s="396" t="str">
        <x:v>Chase</x:v>
      </x:c>
      <x:c r="B33" s="414" t="n">
        <x:v>46266</x:v>
      </x:c>
      <x:c r="C33" s="396" t="str">
        <x:v>Starbucks</x:v>
      </x:c>
      <x:c r="D33" s="395" t="n">
        <x:v>12.45</x:v>
      </x:c>
      <x:c r="E33" s="396" t="str">
        <x:v>Posted</x:v>
      </x:c>
      <x:c r="F33" s="396" t="str">
        <x:v>Starbucks</x:v>
      </x:c>
      <x:c r="G33" s="396" t="str">
        <x:v>Include</x:v>
      </x:c>
      <x:c r="H33" s="508" t="n">
        <x:f>IF(B33="","",B33-WEEKDAY(B33-2,1)+1)</x:f>
        <x:v>46266</x:v>
      </x:c>
      <x:c r="I33" s="396" t="str">
        <x:v>chase-2026-09-01-starbucks-1245</x:v>
      </x:c>
      <x:c r="J33" s="396" t="str">
        <x:v>Posted in Sep. 9 Chase activity</x:v>
      </x:c>
      <x:c r="K33" s="396" t="str">
        <x:v>Chase activity — Sep 9</x:v>
      </x:c>
      <x:c r="L33" s="396" t="str">
        <x:v>Posted activity</x:v>
      </x:c>
      <x:c r="M33" s="396" t="str">
        <x:v>Verified</x:v>
      </x:c>
    </x:row>
    <x:row r="34">
      <x:c r="A34" s="396" t="str">
        <x:v>Citi</x:v>
      </x:c>
      <x:c r="B34" s="414" t="n">
        <x:v>46259</x:v>
      </x:c>
      <x:c r="C34" s="396" t="str">
        <x:v>ONLINE PAYMENT, THANK YOU</x:v>
      </x:c>
      <x:c r="D34" s="395" t="n">
        <x:v>-218.44</x:v>
      </x:c>
      <x:c r="E34" s="396" t="str">
        <x:v>Posted</x:v>
      </x:c>
      <x:c r="F34" s="396" t="str">
        <x:v>Credit-card payment</x:v>
      </x:c>
      <x:c r="G34" s="396" t="str">
        <x:v>Exclude</x:v>
      </x:c>
      <x:c r="H34" s="508" t="n">
        <x:f>IF(B34="","",B34-WEEKDAY(B34-2,1)+1)</x:f>
        <x:v>46259</x:v>
      </x:c>
      <x:c r="I34" s="396" t="str">
        <x:v>citi-2026-08-25-payment-21844</x:v>
      </x:c>
      <x:c r="J34" s="396" t="str">
        <x:v>Card payment; excluded from spending</x:v>
      </x:c>
      <x:c r="K34" s="396" t="str">
        <x:v>Archived prior-cycle screenshot</x:v>
      </x:c>
      <x:c r="L34" s="396" t="str">
        <x:v>Visible transaction section</x:v>
      </x:c>
      <x:c r="M34" s="396" t="str">
        <x:v>Verified</x:v>
      </x:c>
    </x:row>
    <x:row r="35">
      <x:c r="A35" s="396" t="str">
        <x:v>Citi</x:v>
      </x:c>
      <x:c r="B35" s="414" t="n">
        <x:v>46261</x:v>
      </x:c>
      <x:c r="C35" s="396" t="str">
        <x:v>SPEEDY STOP 111 BAY CITY TX</x:v>
      </x:c>
      <x:c r="D35" s="395" t="n">
        <x:v>30.54</x:v>
      </x:c>
      <x:c r="E35" s="396" t="str">
        <x:v>Posted</x:v>
      </x:c>
      <x:c r="F35" s="396" t="str">
        <x:v>Fuel</x:v>
      </x:c>
      <x:c r="G35" s="396" t="str">
        <x:v>Include</x:v>
      </x:c>
      <x:c r="H35" s="508" t="n">
        <x:f>IF(B35="","",B35-WEEKDAY(B35-2,1)+1)</x:f>
        <x:v>46259</x:v>
      </x:c>
      <x:c r="I35" s="396" t="str">
        <x:v>citi-2026-08-27-speedystop-3054</x:v>
      </x:c>
      <x:c r="J35" s="396" t="str">
        <x:v>Visible in Sep. 1 Citi screenshot</x:v>
      </x:c>
      <x:c r="K35" s="396" t="str">
        <x:v>Archived prior-cycle screenshot</x:v>
      </x:c>
      <x:c r="L35" s="396" t="str">
        <x:v>Visible transaction section</x:v>
      </x:c>
      <x:c r="M35" s="396" t="str">
        <x:v>Verified</x:v>
      </x:c>
    </x:row>
    <x:row r="36">
      <x:c r="A36" s="396" t="str">
        <x:v>Citi</x:v>
      </x:c>
      <x:c r="B36" s="414" t="n">
        <x:v>46262</x:v>
      </x:c>
      <x:c r="C36" s="396" t="str">
        <x:v>EXXON CHECKOUT #70 ROCKPORT TX</x:v>
      </x:c>
      <x:c r="D36" s="395" t="n">
        <x:v>32.25</x:v>
      </x:c>
      <x:c r="E36" s="396" t="str">
        <x:v>Posted</x:v>
      </x:c>
      <x:c r="F36" s="396" t="str">
        <x:v>Fuel</x:v>
      </x:c>
      <x:c r="G36" s="396" t="str">
        <x:v>Include</x:v>
      </x:c>
      <x:c r="H36" s="508" t="n">
        <x:f>IF(B36="","",B36-WEEKDAY(B36-2,1)+1)</x:f>
        <x:v>46259</x:v>
      </x:c>
      <x:c r="I36" s="396" t="str">
        <x:v>citi-2026-08-28-exxon-3225</x:v>
      </x:c>
      <x:c r="J36" s="396" t="str">
        <x:v>Visible in Sep. 1 Citi screenshot</x:v>
      </x:c>
      <x:c r="K36" s="396" t="str">
        <x:v>Archived prior-cycle screenshot</x:v>
      </x:c>
      <x:c r="L36" s="396" t="str">
        <x:v>Visible transaction section</x:v>
      </x:c>
      <x:c r="M36" s="396" t="str">
        <x:v>Verified</x:v>
      </x:c>
    </x:row>
    <x:row r="37">
      <x:c r="A37" s="396" t="str">
        <x:v>Citi</x:v>
      </x:c>
      <x:c r="B37" s="414" t="n">
        <x:v>46263</x:v>
      </x:c>
      <x:c r="C37" s="396" t="str">
        <x:v>OPENAI *CHATGPT SUBSCR SAN FRA</x:v>
      </x:c>
      <x:c r="D37" s="395" t="n">
        <x:v>16.67</x:v>
      </x:c>
      <x:c r="E37" s="396" t="str">
        <x:v>Posted</x:v>
      </x:c>
      <x:c r="F37" s="396" t="str">
        <x:v>Subscriptions</x:v>
      </x:c>
      <x:c r="G37" s="396" t="str">
        <x:v>Include</x:v>
      </x:c>
      <x:c r="H37" s="508" t="n">
        <x:f>IF(B37="","",B37-WEEKDAY(B37-2,1)+1)</x:f>
        <x:v>46259</x:v>
      </x:c>
      <x:c r="I37" s="396" t="str">
        <x:v>citi-2026-08-29-openai-1667</x:v>
      </x:c>
      <x:c r="J37" s="396" t="str">
        <x:v>Subscription charge; included in actuals, confirm recurrence before adding to plan</x:v>
      </x:c>
      <x:c r="K37" s="396" t="str">
        <x:v>Archived prior-cycle screenshot</x:v>
      </x:c>
      <x:c r="L37" s="396" t="str">
        <x:v>Visible transaction section</x:v>
      </x:c>
      <x:c r="M37" s="396" t="str">
        <x:v>Verified</x:v>
      </x:c>
    </x:row>
    <x:row r="38">
      <x:c r="A38" s="396" t="str">
        <x:v>Citi</x:v>
      </x:c>
      <x:c r="B38" s="414" t="n">
        <x:v>46266</x:v>
      </x:c>
      <x:c r="C38" s="396" t="str">
        <x:v>EXXON CHECKOUT #70 ROCKPORT USA</x:v>
      </x:c>
      <x:c r="D38" s="395" t="n">
        <x:v>63.34</x:v>
      </x:c>
      <x:c r="E38" s="396" t="str">
        <x:v>Posted</x:v>
      </x:c>
      <x:c r="F38" s="396" t="str">
        <x:v>Fuel</x:v>
      </x:c>
      <x:c r="G38" s="396" t="str">
        <x:v>Include</x:v>
      </x:c>
      <x:c r="H38" s="508" t="n">
        <x:f>IF(B38="","",B38-WEEKDAY(B38-2,1)+1)</x:f>
        <x:v>46266</x:v>
      </x:c>
      <x:c r="I38" s="396" t="str">
        <x:v>citi-2026-09-01-exxon-6334</x:v>
      </x:c>
      <x:c r="J38" s="396" t="str">
        <x:v>Posted in Sep. 9 Citi activity</x:v>
      </x:c>
      <x:c r="K38" s="396" t="str">
        <x:v>2026-09-09 Citi activity</x:v>
      </x:c>
      <x:c r="L38" s="396" t="str">
        <x:v>Posted activity</x:v>
      </x:c>
      <x:c r="M38" s="396" t="str">
        <x:v>Verified</x:v>
      </x:c>
    </x:row>
    <x:row r="39">
      <x:c r="A39" s="396" t="str">
        <x:v>Citi</x:v>
      </x:c>
      <x:c r="B39" s="414" t="n">
        <x:v>46267</x:v>
      </x:c>
      <x:c r="C39" s="396" t="str">
        <x:v>ONLINE PAYMENT, THANK YOU</x:v>
      </x:c>
      <x:c r="D39" s="395" t="n">
        <x:v>-79.46</x:v>
      </x:c>
      <x:c r="E39" s="396" t="str">
        <x:v>Posted</x:v>
      </x:c>
      <x:c r="F39" s="396" t="str">
        <x:v>Credit-card payment</x:v>
      </x:c>
      <x:c r="G39" s="396" t="str">
        <x:v>Exclude</x:v>
      </x:c>
      <x:c r="H39" s="508" t="n">
        <x:f>IF(B39="","",B39-WEEKDAY(B39-2,1)+1)</x:f>
        <x:v>46266</x:v>
      </x:c>
      <x:c r="I39" s="396" t="str">
        <x:v>citi-2026-09-02-payment-7946</x:v>
      </x:c>
      <x:c r="J39" s="396" t="str">
        <x:v>Card payment; excluded from spending. Verified in Sep. 9 Citi activity</x:v>
      </x:c>
      <x:c r="K39" s="396" t="str">
        <x:v>2026-09-09 Citi activity</x:v>
      </x:c>
      <x:c r="L39" s="396" t="str">
        <x:v>Posted activity</x:v>
      </x:c>
      <x:c r="M39" s="396" t="str">
        <x:v>Verified</x:v>
      </x:c>
    </x:row>
    <x:row r="40">
      <x:c r="A40" s="396" t="str">
        <x:v>Citi</x:v>
      </x:c>
      <x:c r="B40" s="414" t="n">
        <x:v>46268</x:v>
      </x:c>
      <x:c r="C40" s="396" t="str">
        <x:v>PCC 9394 INGLESIDE TX</x:v>
      </x:c>
      <x:c r="D40" s="395" t="n">
        <x:v>68.75</x:v>
      </x:c>
      <x:c r="E40" s="396" t="str">
        <x:v>Posted</x:v>
      </x:c>
      <x:c r="F40" s="396" t="str">
        <x:v>Fuel</x:v>
      </x:c>
      <x:c r="G40" s="396" t="str">
        <x:v>Include</x:v>
      </x:c>
      <x:c r="H40" s="508" t="n">
        <x:f>IF(B40="","",B40-WEEKDAY(B40-2,1)+1)</x:f>
        <x:v>46266</x:v>
      </x:c>
      <x:c r="I40" s="396" t="str">
        <x:v>citi-2026-09-03-pcc-6875</x:v>
      </x:c>
      <x:c r="J40" s="396" t="str">
        <x:v>Fuel purchase verified in Sep. 9 Citi activity</x:v>
      </x:c>
      <x:c r="K40" s="396" t="str">
        <x:v>2026-09-09 Citi activity</x:v>
      </x:c>
      <x:c r="L40" s="396" t="str">
        <x:v>Posted activity</x:v>
      </x:c>
      <x:c r="M40" s="396" t="str">
        <x:v>Verified</x:v>
      </x:c>
    </x:row>
    <x:row r="41">
      <x:c r="A41" s="396" t="str">
        <x:v>Prime Visa</x:v>
      </x:c>
      <x:c r="B41" s="414" t="n">
        <x:v>46259</x:v>
      </x:c>
      <x:c r="C41" s="396" t="str">
        <x:v>AMAZON PRIME MEMBERSHIP</x:v>
      </x:c>
      <x:c r="D41" s="395" t="n">
        <x:v>16.23</x:v>
      </x:c>
      <x:c r="E41" s="396" t="str">
        <x:v>Posted</x:v>
      </x:c>
      <x:c r="F41" s="396" t="str">
        <x:v>Subscriptions</x:v>
      </x:c>
      <x:c r="G41" s="396" t="str">
        <x:v>Include</x:v>
      </x:c>
      <x:c r="H41" s="508" t="n">
        <x:f>IF(B41="","",B41-WEEKDAY(B41-2,1)+1)</x:f>
        <x:v>46259</x:v>
      </x:c>
      <x:c r="I41" s="396" t="str">
        <x:v>prime-2026-08-25-membership-1623</x:v>
      </x:c>
      <x:c r="J41" s="396" t="str">
        <x:v>Recurring Prime membership; visible in Sep. 1 Prime screenshot</x:v>
      </x:c>
      <x:c r="K41" s="396" t="str">
        <x:v>2026-09-01 Prime Visa activity</x:v>
      </x:c>
      <x:c r="L41" s="396" t="str">
        <x:v>Recent activity</x:v>
      </x:c>
      <x:c r="M41" s="396" t="str">
        <x:v>Verified</x:v>
      </x:c>
    </x:row>
    <x:row r="42">
      <x:c r="A42" s="396" t="str">
        <x:v>Prime Visa</x:v>
      </x:c>
      <x:c r="B42" s="414" t="n">
        <x:v>46263</x:v>
      </x:c>
      <x:c r="C42" s="396" t="str">
        <x:v>AMAZON MARKETPLACE</x:v>
      </x:c>
      <x:c r="D42" s="395" t="n">
        <x:v>8.65</x:v>
      </x:c>
      <x:c r="E42" s="396" t="str">
        <x:v>Posted</x:v>
      </x:c>
      <x:c r="F42" s="396" t="str">
        <x:v>Shopping / personal care</x:v>
      </x:c>
      <x:c r="G42" s="396" t="str">
        <x:v>Include</x:v>
      </x:c>
      <x:c r="H42" s="508" t="n">
        <x:f>IF(B42="","",B42-WEEKDAY(B42-2,1)+1)</x:f>
        <x:v>46259</x:v>
      </x:c>
      <x:c r="I42" s="396" t="str">
        <x:v>prime-2026-08-29-amazon-865</x:v>
      </x:c>
      <x:c r="J42" s="396" t="str">
        <x:v>Visible in Sep. 1 Prime screenshot</x:v>
      </x:c>
      <x:c r="K42" s="396" t="str">
        <x:v>2026-09-01 Prime Visa activity</x:v>
      </x:c>
      <x:c r="L42" s="396" t="str">
        <x:v>Recent activity</x:v>
      </x:c>
      <x:c r="M42" s="396" t="str">
        <x:v>Verified</x:v>
      </x:c>
    </x:row>
    <x:row r="43">
      <x:c r="A43" s="396" t="str">
        <x:v>Prime Visa</x:v>
      </x:c>
      <x:c r="B43" s="414" t="n">
        <x:v>46263</x:v>
      </x:c>
      <x:c r="C43" s="396" t="str">
        <x:v>AMAZON MARKETPLACE</x:v>
      </x:c>
      <x:c r="D43" s="395" t="n">
        <x:v>7.78</x:v>
      </x:c>
      <x:c r="E43" s="396" t="str">
        <x:v>Posted</x:v>
      </x:c>
      <x:c r="F43" s="396" t="str">
        <x:v>Shopping / personal care</x:v>
      </x:c>
      <x:c r="G43" s="396" t="str">
        <x:v>Include</x:v>
      </x:c>
      <x:c r="H43" s="508" t="n">
        <x:f>IF(B43="","",B43-WEEKDAY(B43-2,1)+1)</x:f>
        <x:v>46259</x:v>
      </x:c>
      <x:c r="I43" s="396" t="str">
        <x:v>prime-2026-08-29-amazon-778</x:v>
      </x:c>
      <x:c r="J43" s="396" t="str">
        <x:v>Visible in Sep. 1 Prime screenshot</x:v>
      </x:c>
      <x:c r="K43" s="396" t="str">
        <x:v>2026-09-01 Prime Visa activity</x:v>
      </x:c>
      <x:c r="L43" s="396" t="str">
        <x:v>Recent activity</x:v>
      </x:c>
      <x:c r="M43" s="396" t="str">
        <x:v>Verified</x:v>
      </x:c>
    </x:row>
    <x:row r="44">
      <x:c r="A44" s="396" t="str">
        <x:v>Prime Visa</x:v>
      </x:c>
      <x:c r="B44" s="414" t="n">
        <x:v>46264</x:v>
      </x:c>
      <x:c r="C44" s="396" t="str">
        <x:v>AMAZON MARKETPLACE</x:v>
      </x:c>
      <x:c r="D44" s="395" t="n">
        <x:v>7.57</x:v>
      </x:c>
      <x:c r="E44" s="396" t="str">
        <x:v>Posted</x:v>
      </x:c>
      <x:c r="F44" s="396" t="str">
        <x:v>Shopping / personal care</x:v>
      </x:c>
      <x:c r="G44" s="396" t="str">
        <x:v>Include</x:v>
      </x:c>
      <x:c r="H44" s="508" t="n">
        <x:f>IF(B44="","",B44-WEEKDAY(B44-2,1)+1)</x:f>
        <x:v>46259</x:v>
      </x:c>
      <x:c r="I44" s="396" t="str">
        <x:v>prime-2026-08-30-amazon-757</x:v>
      </x:c>
      <x:c r="J44" s="396" t="str">
        <x:v>Visible in Sep. 1 Prime screenshot</x:v>
      </x:c>
      <x:c r="K44" s="396" t="str">
        <x:v>2026-09-01 Prime Visa activity</x:v>
      </x:c>
      <x:c r="L44" s="396" t="str">
        <x:v>Recent activity</x:v>
      </x:c>
      <x:c r="M44" s="396" t="str">
        <x:v>Verified</x:v>
      </x:c>
    </x:row>
    <x:row r="45">
      <x:c r="A45" s="396" t="str">
        <x:v>Prime Visa</x:v>
      </x:c>
      <x:c r="B45" s="414" t="n">
        <x:v>46264</x:v>
      </x:c>
      <x:c r="C45" s="396" t="str">
        <x:v>AMAZON MARKETPLACE</x:v>
      </x:c>
      <x:c r="D45" s="395" t="n">
        <x:v>15.14</x:v>
      </x:c>
      <x:c r="E45" s="396" t="str">
        <x:v>Posted</x:v>
      </x:c>
      <x:c r="F45" s="396" t="str">
        <x:v>Shopping / personal care</x:v>
      </x:c>
      <x:c r="G45" s="396" t="str">
        <x:v>Include</x:v>
      </x:c>
      <x:c r="H45" s="508" t="n">
        <x:f>IF(B45="","",B45-WEEKDAY(B45-2,1)+1)</x:f>
        <x:v>46259</x:v>
      </x:c>
      <x:c r="I45" s="396" t="str">
        <x:v>prime-2026-08-30-amazon-1514</x:v>
      </x:c>
      <x:c r="J45" s="396" t="str">
        <x:v>Visible in Sep. 1 Prime screenshot</x:v>
      </x:c>
      <x:c r="K45" s="396" t="str">
        <x:v>2026-09-01 Prime Visa activity</x:v>
      </x:c>
      <x:c r="L45" s="396" t="str">
        <x:v>Recent activity</x:v>
      </x:c>
      <x:c r="M45" s="396" t="str">
        <x:v>Verified</x:v>
      </x:c>
    </x:row>
    <x:row r="46">
      <x:c r="A46" s="396" t="str">
        <x:v>Chase</x:v>
      </x:c>
      <x:c r="B46" s="414" t="n">
        <x:v>46268</x:v>
      </x:c>
      <x:c r="C46" s="396" t="str">
        <x:v>365 MARKET</x:v>
      </x:c>
      <x:c r="D46" s="395" t="n">
        <x:v>2.36</x:v>
      </x:c>
      <x:c r="E46" s="396" t="str">
        <x:v>Posted</x:v>
      </x:c>
      <x:c r="F46" s="396" t="str">
        <x:v>Work snacks</x:v>
      </x:c>
      <x:c r="G46" s="396" t="str">
        <x:v>Include</x:v>
      </x:c>
      <x:c r="H46" s="508" t="n">
        <x:f>IF(B46="","",B46-WEEKDAY(B46-2,1)+1)</x:f>
        <x:v>46266</x:v>
      </x:c>
      <x:c r="I46" s="396" t="str">
        <x:v>chase-2026-09-03-365-236</x:v>
      </x:c>
      <x:c r="J46" s="396" t="str">
        <x:v>Visible in Sep. 9 Chase activity</x:v>
      </x:c>
      <x:c r="K46" s="396" t="str">
        <x:v>Chase activity — Sep 9</x:v>
      </x:c>
      <x:c r="L46" s="396" t="str">
        <x:v>Posted activity</x:v>
      </x:c>
      <x:c r="M46" s="396" t="str">
        <x:v>Verified</x:v>
      </x:c>
    </x:row>
    <x:row r="47">
      <x:c r="A47" s="396" t="str">
        <x:v>Chase</x:v>
      </x:c>
      <x:c r="B47" s="414" t="n">
        <x:v>46268</x:v>
      </x:c>
      <x:c r="C47" s="396" t="str">
        <x:v>Starbucks</x:v>
      </x:c>
      <x:c r="D47" s="395" t="n">
        <x:v>11.26</x:v>
      </x:c>
      <x:c r="E47" s="396" t="str">
        <x:v>Posted</x:v>
      </x:c>
      <x:c r="F47" s="396" t="str">
        <x:v>Starbucks</x:v>
      </x:c>
      <x:c r="G47" s="396" t="str">
        <x:v>Include</x:v>
      </x:c>
      <x:c r="H47" s="508" t="n">
        <x:f>IF(B47="","",B47-WEEKDAY(B47-2,1)+1)</x:f>
        <x:v>46266</x:v>
      </x:c>
      <x:c r="I47" s="396" t="str">
        <x:v>chase-2026-09-03-starbucks-1126</x:v>
      </x:c>
      <x:c r="J47" s="396" t="str">
        <x:v>Visible in Sep. 9 Chase activity</x:v>
      </x:c>
      <x:c r="K47" s="396" t="str">
        <x:v>Chase activity — Sep 9</x:v>
      </x:c>
      <x:c r="L47" s="396" t="str">
        <x:v>Posted activity</x:v>
      </x:c>
      <x:c r="M47" s="396" t="str">
        <x:v>Verified</x:v>
      </x:c>
    </x:row>
    <x:row r="48">
      <x:c r="A48" s="396" t="str">
        <x:v>Chase</x:v>
      </x:c>
      <x:c r="B48" s="414" t="n">
        <x:v>46267</x:v>
      </x:c>
      <x:c r="C48" s="396" t="str">
        <x:v>ROYAL CARIBBEAN</x:v>
      </x:c>
      <x:c r="D48" s="395" t="n">
        <x:v>1081.18</x:v>
      </x:c>
      <x:c r="E48" s="396" t="str">
        <x:v>Posted</x:v>
      </x:c>
      <x:c r="F48" s="396" t="str">
        <x:v>Travel / cruise</x:v>
      </x:c>
      <x:c r="G48" s="396" t="str">
        <x:v>Exclude</x:v>
      </x:c>
      <x:c r="H48" s="508" t="n">
        <x:f>IF(B48="","",B48-WEEKDAY(B48-2,1)+1)</x:f>
        <x:v>46266</x:v>
      </x:c>
      <x:c r="I48" s="396" t="str">
        <x:v>chase-2026-09-02-royalcaribbean-108118</x:v>
      </x:c>
      <x:c r="J48" s="396" t="str">
        <x:v>Friend reimbursement pass-through; excluded. $0.18 recorded separately.</x:v>
      </x:c>
      <x:c r="K48" s="396" t="str">
        <x:v>Chase activity — Sep 9</x:v>
      </x:c>
      <x:c r="L48" s="396" t="str">
        <x:v>Posted activity</x:v>
      </x:c>
      <x:c r="M48" s="396" t="str">
        <x:v>Verified</x:v>
      </x:c>
    </x:row>
    <x:row r="49">
      <x:c r="A49" s="396" t="str">
        <x:v>Chase</x:v>
      </x:c>
      <x:c r="B49" s="414" t="n">
        <x:v>46267</x:v>
      </x:c>
      <x:c r="C49" s="396" t="str">
        <x:v>Royal Caribbean unreimbursed amount</x:v>
      </x:c>
      <x:c r="D49" s="395" t="n">
        <x:v>0.18</x:v>
      </x:c>
      <x:c r="E49" s="396" t="str">
        <x:v>Posted</x:v>
      </x:c>
      <x:c r="F49" s="396" t="str">
        <x:v>Travel / cruise</x:v>
      </x:c>
      <x:c r="G49" s="396" t="str">
        <x:v>Include</x:v>
      </x:c>
      <x:c r="H49" s="508" t="n">
        <x:f>IF(B49="","",B49-WEEKDAY(B49-2,1)+1)</x:f>
        <x:v>46266</x:v>
      </x:c>
      <x:c r="I49" s="396" t="str">
        <x:v>chase-2026-09-02-royalcaribbean-net-018</x:v>
      </x:c>
      <x:c r="J49" s="396" t="str">
        <x:v>Net amount after the $1,081.00 Wells reimbursement</x:v>
      </x:c>
      <x:c r="K49" s="396" t="str">
        <x:v>Cross-account reconciliation — Sep 9</x:v>
      </x:c>
      <x:c r="L49" s="396" t="str">
        <x:v>Chase charge less Wells reimbursement</x:v>
      </x:c>
      <x:c r="M49" s="396" t="str">
        <x:v>Verified</x:v>
      </x:c>
    </x:row>
    <x:row r="50">
      <x:c r="A50" s="396" t="str">
        <x:v>Chase</x:v>
      </x:c>
      <x:c r="B50" s="414" t="n">
        <x:v>46267</x:v>
      </x:c>
      <x:c r="C50" s="396" t="str">
        <x:v>365 MARKET</x:v>
      </x:c>
      <x:c r="D50" s="395" t="n">
        <x:v>2.36</x:v>
      </x:c>
      <x:c r="E50" s="396" t="str">
        <x:v>Posted</x:v>
      </x:c>
      <x:c r="F50" s="396" t="str">
        <x:v>Work snacks</x:v>
      </x:c>
      <x:c r="G50" s="396" t="str">
        <x:v>Include</x:v>
      </x:c>
      <x:c r="H50" s="508" t="n">
        <x:f>IF(B50="","",B50-WEEKDAY(B50-2,1)+1)</x:f>
        <x:v>46266</x:v>
      </x:c>
      <x:c r="I50" s="396" t="str">
        <x:v>chase-2026-09-02-365-236b</x:v>
      </x:c>
      <x:c r="J50" s="396" t="str">
        <x:v>Visible in Sep. 9 Chase activity</x:v>
      </x:c>
      <x:c r="K50" s="396" t="str">
        <x:v>Chase activity — Sep 9</x:v>
      </x:c>
      <x:c r="L50" s="396" t="str">
        <x:v>Posted activity</x:v>
      </x:c>
      <x:c r="M50" s="396" t="str">
        <x:v>Verified</x:v>
      </x:c>
    </x:row>
    <x:row r="51">
      <x:c r="A51" s="396" t="str">
        <x:v>Chase</x:v>
      </x:c>
      <x:c r="B51" s="414" t="n">
        <x:v>46267</x:v>
      </x:c>
      <x:c r="C51" s="396" t="str">
        <x:v>Starbucks</x:v>
      </x:c>
      <x:c r="D51" s="395" t="n">
        <x:v>12.94</x:v>
      </x:c>
      <x:c r="E51" s="396" t="str">
        <x:v>Posted</x:v>
      </x:c>
      <x:c r="F51" s="396" t="str">
        <x:v>Starbucks</x:v>
      </x:c>
      <x:c r="G51" s="396" t="str">
        <x:v>Include</x:v>
      </x:c>
      <x:c r="H51" s="508" t="n">
        <x:f>IF(B51="","",B51-WEEKDAY(B51-2,1)+1)</x:f>
        <x:v>46266</x:v>
      </x:c>
      <x:c r="I51" s="396" t="str">
        <x:v>chase-2026-09-02-starbucks-1294</x:v>
      </x:c>
      <x:c r="J51" s="396" t="str">
        <x:v>Visible in Sep. 9 Chase activity</x:v>
      </x:c>
      <x:c r="K51" s="396" t="str">
        <x:v>Chase activity — Sep 9</x:v>
      </x:c>
      <x:c r="L51" s="396" t="str">
        <x:v>Posted activity</x:v>
      </x:c>
      <x:c r="M51" s="396" t="str">
        <x:v>Verified</x:v>
      </x:c>
    </x:row>
    <x:row r="52">
      <x:c r="A52" s="396" t="str">
        <x:v>Chase</x:v>
      </x:c>
      <x:c r="B52" s="414" t="n">
        <x:v>46267</x:v>
      </x:c>
      <x:c r="C52" s="396" t="str">
        <x:v>INVINCIBLE APPCHARGE</x:v>
      </x:c>
      <x:c r="D52" s="395" t="n">
        <x:v>9.17</x:v>
      </x:c>
      <x:c r="E52" s="396" t="str">
        <x:v>Posted</x:v>
      </x:c>
      <x:c r="F52" s="396" t="str">
        <x:v>Invincibles + other Apple</x:v>
      </x:c>
      <x:c r="G52" s="396" t="str">
        <x:v>Include</x:v>
      </x:c>
      <x:c r="H52" s="508" t="n">
        <x:f>IF(B52="","",B52-WEEKDAY(B52-2,1)+1)</x:f>
        <x:v>46266</x:v>
      </x:c>
      <x:c r="I52" s="396" t="str">
        <x:v>chase-2026-09-02-invincible-917</x:v>
      </x:c>
      <x:c r="J52" s="396" t="str">
        <x:v>Visible in Sep. 9 Chase activity</x:v>
      </x:c>
      <x:c r="K52" s="396" t="str">
        <x:v>Chase activity — Sep 9</x:v>
      </x:c>
      <x:c r="L52" s="396" t="str">
        <x:v>Posted activity</x:v>
      </x:c>
      <x:c r="M52" s="396" t="str">
        <x:v>Verified</x:v>
      </x:c>
    </x:row>
    <x:row r="53">
      <x:c r="A53" s="396" t="str">
        <x:v>Chase</x:v>
      </x:c>
      <x:c r="B53" s="414" t="n">
        <x:v>46267</x:v>
      </x:c>
      <x:c r="C53" s="396" t="str">
        <x:v>HWBTPLUS</x:v>
      </x:c>
      <x:c r="D53" s="395" t="n">
        <x:v>11.99</x:v>
      </x:c>
      <x:c r="E53" s="396" t="str">
        <x:v>Posted</x:v>
      </x:c>
      <x:c r="F53" s="396" t="str">
        <x:v>Subscriptions</x:v>
      </x:c>
      <x:c r="G53" s="396" t="str">
        <x:v>Include</x:v>
      </x:c>
      <x:c r="H53" s="508" t="n">
        <x:f>IF(B53="","",B53-WEEKDAY(B53-2,1)+1)</x:f>
        <x:v>46266</x:v>
      </x:c>
      <x:c r="I53" s="396" t="str">
        <x:v>chase-2026-09-02-hwbtplus-1199</x:v>
      </x:c>
      <x:c r="J53" s="396" t="str">
        <x:v>Cancelled after this one-time final charge</x:v>
      </x:c>
      <x:c r="K53" s="396" t="str">
        <x:v>Chase activity — Sep 9</x:v>
      </x:c>
      <x:c r="L53" s="396" t="str">
        <x:v>Posted activity</x:v>
      </x:c>
      <x:c r="M53" s="396" t="str">
        <x:v>Verified</x:v>
      </x:c>
    </x:row>
    <x:row r="54">
      <x:c r="A54" s="396" t="str">
        <x:v>Chase</x:v>
      </x:c>
      <x:c r="B54" s="414" t="n">
        <x:v>46267</x:v>
      </x:c>
      <x:c r="C54" s="396" t="str">
        <x:v>Visible</x:v>
      </x:c>
      <x:c r="D54" s="395" t="n">
        <x:v>35</x:v>
      </x:c>
      <x:c r="E54" s="396" t="str">
        <x:v>Posted</x:v>
      </x:c>
      <x:c r="F54" s="396" t="str">
        <x:v>Phone + Visible</x:v>
      </x:c>
      <x:c r="G54" s="396" t="str">
        <x:v>Include</x:v>
      </x:c>
      <x:c r="H54" s="508" t="n">
        <x:f>IF(B54="","",B54-WEEKDAY(B54-2,1)+1)</x:f>
        <x:v>46266</x:v>
      </x:c>
      <x:c r="I54" s="396" t="str">
        <x:v>chase-2026-09-02-visible-3500</x:v>
      </x:c>
      <x:c r="J54" s="396" t="str">
        <x:v>Visible mobile service</x:v>
      </x:c>
      <x:c r="K54" s="396" t="str">
        <x:v>Chase activity — Sep 9</x:v>
      </x:c>
      <x:c r="L54" s="396" t="str">
        <x:v>Posted activity</x:v>
      </x:c>
      <x:c r="M54" s="396" t="str">
        <x:v>Verified</x:v>
      </x:c>
    </x:row>
    <x:row r="55">
      <x:c r="A55" s="396" t="str">
        <x:v>Chase</x:v>
      </x:c>
      <x:c r="B55" s="414" t="n">
        <x:v>46267</x:v>
      </x:c>
      <x:c r="C55" s="396" t="str">
        <x:v>Payment Thank You</x:v>
      </x:c>
      <x:c r="D55" s="395" t="n">
        <x:v>-72.61</x:v>
      </x:c>
      <x:c r="E55" s="396" t="str">
        <x:v>Posted</x:v>
      </x:c>
      <x:c r="F55" s="396" t="str">
        <x:v>Credit-card payment</x:v>
      </x:c>
      <x:c r="G55" s="396" t="str">
        <x:v>Exclude</x:v>
      </x:c>
      <x:c r="H55" s="508" t="n">
        <x:f>IF(B55="","",B55-WEEKDAY(B55-2,1)+1)</x:f>
        <x:v>46266</x:v>
      </x:c>
      <x:c r="I55" s="396" t="str">
        <x:v>chase-2026-09-02-payment-7261</x:v>
      </x:c>
      <x:c r="J55" s="396" t="str">
        <x:v>Card payment; excluded from spending</x:v>
      </x:c>
      <x:c r="K55" s="396" t="str">
        <x:v>Chase activity — Sep 9</x:v>
      </x:c>
      <x:c r="L55" s="396" t="str">
        <x:v>Posted activity</x:v>
      </x:c>
      <x:c r="M55" s="396" t="str">
        <x:v>Verified</x:v>
      </x:c>
    </x:row>
    <x:row r="56">
      <x:c r="A56" s="396" t="str">
        <x:v>Chase</x:v>
      </x:c>
      <x:c r="B56" s="414" t="n">
        <x:v>46267</x:v>
      </x:c>
      <x:c r="C56" s="396" t="str">
        <x:v>Apple Digital Services</x:v>
      </x:c>
      <x:c r="D56" s="395" t="n">
        <x:v>-5.4</x:v>
      </x:c>
      <x:c r="E56" s="396" t="str">
        <x:v>Posted</x:v>
      </x:c>
      <x:c r="F56" s="396" t="str">
        <x:v>Invincibles + other Apple</x:v>
      </x:c>
      <x:c r="G56" s="396" t="str">
        <x:v>Include</x:v>
      </x:c>
      <x:c r="H56" s="508" t="n">
        <x:f>IF(B56="","",B56-WEEKDAY(B56-2,1)+1)</x:f>
        <x:v>46266</x:v>
      </x:c>
      <x:c r="I56" s="396" t="str">
        <x:v>chase-2026-09-02-apple-refund-540</x:v>
      </x:c>
      <x:c r="J56" s="396" t="str">
        <x:v>Posted credit/refund; amount verified against source image</x:v>
      </x:c>
      <x:c r="K56" s="396" t="str">
        <x:v>Chase activity — Sep 9</x:v>
      </x:c>
      <x:c r="L56" s="396" t="str">
        <x:v>Posted activity</x:v>
      </x:c>
      <x:c r="M56" s="396" t="str">
        <x:v>Verified</x:v>
      </x:c>
    </x:row>
    <x:row r="57">
      <x:c r="A57" s="396" t="str">
        <x:v>Chase</x:v>
      </x:c>
      <x:c r="B57" s="414" t="n">
        <x:v>46269</x:v>
      </x:c>
      <x:c r="C57" s="396" t="str">
        <x:v>GAS</x:v>
      </x:c>
      <x:c r="D57" s="395" t="n">
        <x:v>27.05</x:v>
      </x:c>
      <x:c r="E57" s="396" t="str">
        <x:v>Posted</x:v>
      </x:c>
      <x:c r="F57" s="396" t="str">
        <x:v>Fuel</x:v>
      </x:c>
      <x:c r="G57" s="396" t="str">
        <x:v>Include</x:v>
      </x:c>
      <x:c r="H57" s="508" t="n">
        <x:f>IF(B57="","",B57-WEEKDAY(B57-2,1)+1)</x:f>
        <x:v>46266</x:v>
      </x:c>
      <x:c r="I57" s="396" t="str">
        <x:v>chase-2026-09-04-gas-2705</x:v>
      </x:c>
      <x:c r="J57" s="396" t="str">
        <x:v>Visible in Sep. 9 Chase activity</x:v>
      </x:c>
      <x:c r="K57" s="396" t="str">
        <x:v>Chase activity — Sep 9</x:v>
      </x:c>
      <x:c r="L57" s="396" t="str">
        <x:v>Posted activity</x:v>
      </x:c>
      <x:c r="M57" s="396" t="str">
        <x:v>Verified</x:v>
      </x:c>
    </x:row>
    <x:row r="58">
      <x:c r="A58" s="396" t="str">
        <x:v>Chase</x:v>
      </x:c>
      <x:c r="B58" s="414" t="n">
        <x:v>46269</x:v>
      </x:c>
      <x:c r="C58" s="396" t="str">
        <x:v>INVINCIBLE APPCHARGE</x:v>
      </x:c>
      <x:c r="D58" s="395" t="n">
        <x:v>18.35</x:v>
      </x:c>
      <x:c r="E58" s="396" t="str">
        <x:v>Posted</x:v>
      </x:c>
      <x:c r="F58" s="396" t="str">
        <x:v>Invincibles + other Apple</x:v>
      </x:c>
      <x:c r="G58" s="396" t="str">
        <x:v>Include</x:v>
      </x:c>
      <x:c r="H58" s="508" t="n">
        <x:f>IF(B58="","",B58-WEEKDAY(B58-2,1)+1)</x:f>
        <x:v>46266</x:v>
      </x:c>
      <x:c r="I58" s="396" t="str">
        <x:v>chase-2026-09-04-invincible-1835</x:v>
      </x:c>
      <x:c r="J58" s="396" t="str">
        <x:v>Visible in Sep. 9 Chase activity</x:v>
      </x:c>
      <x:c r="K58" s="396" t="str">
        <x:v>Chase activity — Sep 9</x:v>
      </x:c>
      <x:c r="L58" s="396" t="str">
        <x:v>Posted activity</x:v>
      </x:c>
      <x:c r="M58" s="396" t="str">
        <x:v>Verified</x:v>
      </x:c>
    </x:row>
    <x:row r="59">
      <x:c r="A59" s="396" t="str">
        <x:v>Chase</x:v>
      </x:c>
      <x:c r="B59" s="414" t="n">
        <x:v>46269</x:v>
      </x:c>
      <x:c r="C59" s="396" t="str">
        <x:v>Starbucks</x:v>
      </x:c>
      <x:c r="D59" s="395" t="n">
        <x:v>5.9</x:v>
      </x:c>
      <x:c r="E59" s="396" t="str">
        <x:v>Posted</x:v>
      </x:c>
      <x:c r="F59" s="396" t="str">
        <x:v>Starbucks</x:v>
      </x:c>
      <x:c r="G59" s="396" t="str">
        <x:v>Include</x:v>
      </x:c>
      <x:c r="H59" s="508" t="n">
        <x:f>IF(B59="","",B59-WEEKDAY(B59-2,1)+1)</x:f>
        <x:v>46266</x:v>
      </x:c>
      <x:c r="I59" s="396" t="str">
        <x:v>chase-2026-09-04-starbucks-590</x:v>
      </x:c>
      <x:c r="J59" s="396" t="str">
        <x:v>Visible in Sep. 9 Chase activity</x:v>
      </x:c>
      <x:c r="K59" s="396" t="str">
        <x:v>Chase activity — Sep 9</x:v>
      </x:c>
      <x:c r="L59" s="396" t="str">
        <x:v>Posted activity</x:v>
      </x:c>
      <x:c r="M59" s="396" t="str">
        <x:v>Verified</x:v>
      </x:c>
    </x:row>
    <x:row r="60">
      <x:c r="A60" s="396" t="str">
        <x:v>Chase</x:v>
      </x:c>
      <x:c r="B60" s="414" t="n">
        <x:v>46270</x:v>
      </x:c>
      <x:c r="C60" s="396" t="str">
        <x:v>H-E-B</x:v>
      </x:c>
      <x:c r="D60" s="395" t="n">
        <x:v>33.5</x:v>
      </x:c>
      <x:c r="E60" s="396" t="str">
        <x:v>Posted</x:v>
      </x:c>
      <x:c r="F60" s="396" t="str">
        <x:v>H-E-B / groceries</x:v>
      </x:c>
      <x:c r="G60" s="396" t="str">
        <x:v>Include</x:v>
      </x:c>
      <x:c r="H60" s="508" t="n">
        <x:f>IF(B60="","",B60-WEEKDAY(B60-2,1)+1)</x:f>
        <x:v>46266</x:v>
      </x:c>
      <x:c r="I60" s="396" t="str">
        <x:v>chase-2026-09-05-heb-3350</x:v>
      </x:c>
      <x:c r="J60" s="396" t="str">
        <x:v>Visible in Sep. 9 Chase activity</x:v>
      </x:c>
      <x:c r="K60" s="396" t="str">
        <x:v>Chase activity — Sep 9</x:v>
      </x:c>
      <x:c r="L60" s="396" t="str">
        <x:v>Posted activity</x:v>
      </x:c>
      <x:c r="M60" s="396" t="str">
        <x:v>Verified</x:v>
      </x:c>
    </x:row>
    <x:row r="61">
      <x:c r="A61" s="396" t="str">
        <x:v>Chase</x:v>
      </x:c>
      <x:c r="B61" s="414" t="n">
        <x:v>46270</x:v>
      </x:c>
      <x:c r="C61" s="396" t="str">
        <x:v>CSC Serviceworks</x:v>
      </x:c>
      <x:c r="D61" s="395" t="n">
        <x:v>3</x:v>
      </x:c>
      <x:c r="E61" s="396" t="str">
        <x:v>Posted</x:v>
      </x:c>
      <x:c r="F61" s="396" t="str">
        <x:v>Automotive</x:v>
      </x:c>
      <x:c r="G61" s="396" t="str">
        <x:v>Include</x:v>
      </x:c>
      <x:c r="H61" s="508" t="n">
        <x:f>IF(B61="","",B61-WEEKDAY(B61-2,1)+1)</x:f>
        <x:v>46266</x:v>
      </x:c>
      <x:c r="I61" s="396" t="str">
        <x:v>chase-2026-09-05-csc-300</x:v>
      </x:c>
      <x:c r="J61" s="396" t="str">
        <x:v>Tire air; user-confirmed</x:v>
      </x:c>
      <x:c r="K61" s="396" t="str">
        <x:v>Chase activity — Sep 9</x:v>
      </x:c>
      <x:c r="L61" s="396" t="str">
        <x:v>Posted activity</x:v>
      </x:c>
      <x:c r="M61" s="396" t="str">
        <x:v>Verified</x:v>
      </x:c>
    </x:row>
    <x:row r="62">
      <x:c r="A62" s="396" t="str">
        <x:v>Chase</x:v>
      </x:c>
      <x:c r="B62" s="414" t="n">
        <x:v>46271</x:v>
      </x:c>
      <x:c r="C62" s="396" t="str">
        <x:v>Payment Thank You</x:v>
      </x:c>
      <x:c r="D62" s="395" t="n">
        <x:v>-1141.57</x:v>
      </x:c>
      <x:c r="E62" s="396" t="str">
        <x:v>Posted</x:v>
      </x:c>
      <x:c r="F62" s="396" t="str">
        <x:v>Credit-card payment</x:v>
      </x:c>
      <x:c r="G62" s="396" t="str">
        <x:v>Exclude</x:v>
      </x:c>
      <x:c r="H62" s="508" t="n">
        <x:f>IF(B62="","",B62-WEEKDAY(B62-2,1)+1)</x:f>
        <x:v>46266</x:v>
      </x:c>
      <x:c r="I62" s="396" t="str">
        <x:v>chase-2026-09-06-payment-114157</x:v>
      </x:c>
      <x:c r="J62" s="396" t="str">
        <x:v>Card payment; excluded from spending</x:v>
      </x:c>
      <x:c r="K62" s="396" t="str">
        <x:v>Chase activity — Sep 9</x:v>
      </x:c>
      <x:c r="L62" s="396" t="str">
        <x:v>Posted activity</x:v>
      </x:c>
      <x:c r="M62" s="396" t="str">
        <x:v>Verified</x:v>
      </x:c>
    </x:row>
    <x:row r="63">
      <x:c r="A63" s="396" t="str">
        <x:v>Chase</x:v>
      </x:c>
      <x:c r="B63" s="414" t="n">
        <x:v>46271</x:v>
      </x:c>
      <x:c r="C63" s="396" t="str">
        <x:v>H-E-B</x:v>
      </x:c>
      <x:c r="D63" s="395" t="n">
        <x:v>165.54</x:v>
      </x:c>
      <x:c r="E63" s="396" t="str">
        <x:v>Posted</x:v>
      </x:c>
      <x:c r="F63" s="396" t="str">
        <x:v>H-E-B / groceries</x:v>
      </x:c>
      <x:c r="G63" s="396" t="str">
        <x:v>Include</x:v>
      </x:c>
      <x:c r="H63" s="508" t="n">
        <x:f>IF(B63="","",B63-WEEKDAY(B63-2,1)+1)</x:f>
        <x:v>46266</x:v>
      </x:c>
      <x:c r="I63" s="396" t="str">
        <x:v>chase-2026-09-06-heb-16554</x:v>
      </x:c>
      <x:c r="J63" s="396" t="str">
        <x:v>Visible in Sep. 9 Chase activity</x:v>
      </x:c>
      <x:c r="K63" s="396" t="str">
        <x:v>Chase activity — Sep 9</x:v>
      </x:c>
      <x:c r="L63" s="396" t="str">
        <x:v>Posted activity</x:v>
      </x:c>
      <x:c r="M63" s="396" t="str">
        <x:v>Verified</x:v>
      </x:c>
    </x:row>
    <x:row r="64">
      <x:c r="A64" s="396" t="str">
        <x:v>Chase</x:v>
      </x:c>
      <x:c r="B64" s="414" t="n">
        <x:v>46273</x:v>
      </x:c>
      <x:c r="C64" s="396" t="str">
        <x:v>MCWHORTER SERVICE</x:v>
      </x:c>
      <x:c r="D64" s="395" t="n">
        <x:v>471.61</x:v>
      </x:c>
      <x:c r="E64" s="396" t="str">
        <x:v>Pending</x:v>
      </x:c>
      <x:c r="F64" s="396" t="str">
        <x:v>Emergency car repair</x:v>
      </x:c>
      <x:c r="G64" s="396" t="str">
        <x:v>Exclude</x:v>
      </x:c>
      <x:c r="H64" s="508" t="n">
        <x:f>IF(B64="","",B64-WEEKDAY(B64-2,1)+1)</x:f>
        <x:v>46273</x:v>
      </x:c>
      <x:c r="I64" s="396" t="str">
        <x:v>chase-2026-09-08-mcwhorter-47161</x:v>
      </x:c>
      <x:c r="J64" s="396" t="str">
        <x:v>Emergency expense; tracked separately from core scorecard</x:v>
      </x:c>
      <x:c r="K64" s="396" t="str">
        <x:v>Chase pending — Sep 9</x:v>
      </x:c>
      <x:c r="L64" s="396" t="str">
        <x:v>Pending list</x:v>
      </x:c>
      <x:c r="M64" s="396" t="str">
        <x:v>Verified</x:v>
      </x:c>
    </x:row>
    <x:row r="65">
      <x:c r="A65" s="396" t="str">
        <x:v>Chase</x:v>
      </x:c>
      <x:c r="B65" s="414" t="n">
        <x:v>46273</x:v>
      </x:c>
      <x:c r="C65" s="396" t="str">
        <x:v>Starbucks</x:v>
      </x:c>
      <x:c r="D65" s="395" t="n">
        <x:v>12.45</x:v>
      </x:c>
      <x:c r="E65" s="396" t="str">
        <x:v>Pending</x:v>
      </x:c>
      <x:c r="F65" s="396" t="str">
        <x:v>Starbucks</x:v>
      </x:c>
      <x:c r="G65" s="396" t="str">
        <x:v>Include</x:v>
      </x:c>
      <x:c r="H65" s="508" t="n">
        <x:f>IF(B65="","",B65-WEEKDAY(B65-2,1)+1)</x:f>
        <x:v>46273</x:v>
      </x:c>
      <x:c r="I65" s="396" t="str">
        <x:v>chase-2026-09-08-starbucks-1245</x:v>
      </x:c>
      <x:c r="J65" s="396" t="str">
        <x:v>Pending in Sep. 9 Chase activity</x:v>
      </x:c>
      <x:c r="K65" s="396" t="str">
        <x:v>Chase pending — Sep 9</x:v>
      </x:c>
      <x:c r="L65" s="396" t="str">
        <x:v>Pending list</x:v>
      </x:c>
      <x:c r="M65" s="396" t="str">
        <x:v>Verified</x:v>
      </x:c>
    </x:row>
    <x:row r="66">
      <x:c r="A66" s="396" t="str">
        <x:v>Chase</x:v>
      </x:c>
      <x:c r="B66" s="414" t="n">
        <x:v>46274</x:v>
      </x:c>
      <x:c r="C66" s="396" t="str">
        <x:v>Starbucks</x:v>
      </x:c>
      <x:c r="D66" s="395" t="n">
        <x:v>7.22</x:v>
      </x:c>
      <x:c r="E66" s="396" t="str">
        <x:v>Pending</x:v>
      </x:c>
      <x:c r="F66" s="396" t="str">
        <x:v>Starbucks</x:v>
      </x:c>
      <x:c r="G66" s="396" t="str">
        <x:v>Include</x:v>
      </x:c>
      <x:c r="H66" s="508" t="n">
        <x:f>IF(B66="","",B66-WEEKDAY(B66-2,1)+1)</x:f>
        <x:v>46273</x:v>
      </x:c>
      <x:c r="I66" s="396" t="str">
        <x:v>chase-2026-09-09-starbucks-722</x:v>
      </x:c>
      <x:c r="J66" s="396" t="str">
        <x:v>Pending in Sep. 9 Chase activity</x:v>
      </x:c>
      <x:c r="K66" s="396" t="str">
        <x:v>Chase pending — Sep 9</x:v>
      </x:c>
      <x:c r="L66" s="396" t="str">
        <x:v>Pending list</x:v>
      </x:c>
      <x:c r="M66" s="396" t="str">
        <x:v>Verified</x:v>
      </x:c>
    </x:row>
    <x:row r="67">
      <x:c r="A67" s="396" t="str">
        <x:v>Chase</x:v>
      </x:c>
      <x:c r="B67" s="414" t="n">
        <x:v>46274</x:v>
      </x:c>
      <x:c r="C67" s="396" t="str">
        <x:v>Starbucks</x:v>
      </x:c>
      <x:c r="D67" s="395" t="n">
        <x:v>6.55</x:v>
      </x:c>
      <x:c r="E67" s="396" t="str">
        <x:v>Pending</x:v>
      </x:c>
      <x:c r="F67" s="396" t="str">
        <x:v>Starbucks</x:v>
      </x:c>
      <x:c r="G67" s="396" t="str">
        <x:v>Include</x:v>
      </x:c>
      <x:c r="H67" s="508" t="n">
        <x:f>IF(B67="","",B67-WEEKDAY(B67-2,1)+1)</x:f>
        <x:v>46273</x:v>
      </x:c>
      <x:c r="I67" s="396" t="str">
        <x:v>chase-2026-09-09-starbucks-655</x:v>
      </x:c>
      <x:c r="J67" s="396" t="str">
        <x:v>Pending in Sep. 9 Chase activity</x:v>
      </x:c>
      <x:c r="K67" s="396" t="str">
        <x:v>Chase pending — Sep 9</x:v>
      </x:c>
      <x:c r="L67" s="396" t="str">
        <x:v>Pending list</x:v>
      </x:c>
      <x:c r="M67" s="396" t="str">
        <x:v>Verified</x:v>
      </x:c>
    </x:row>
    <x:row r="68">
      <x:c r="A68" s="396" t="str">
        <x:v>Chase</x:v>
      </x:c>
      <x:c r="B68" s="414" t="n">
        <x:v>46270</x:v>
      </x:c>
      <x:c r="C68" s="396" t="str">
        <x:v>CSC Serviceworks</x:v>
      </x:c>
      <x:c r="D68" s="395" t="n">
        <x:v>2.5</x:v>
      </x:c>
      <x:c r="E68" s="396" t="str">
        <x:v>Pending</x:v>
      </x:c>
      <x:c r="F68" s="396" t="str">
        <x:v>Automotive</x:v>
      </x:c>
      <x:c r="G68" s="396" t="str">
        <x:v>Include</x:v>
      </x:c>
      <x:c r="H68" s="508" t="n">
        <x:f>IF(B68="","",B68-WEEKDAY(B68-2,1)+1)</x:f>
        <x:v>46266</x:v>
      </x:c>
      <x:c r="I68" s="396" t="str">
        <x:v>chase-2026-09-05-csc-250</x:v>
      </x:c>
      <x:c r="J68" s="396" t="str">
        <x:v>Tire air; pending in Sep. 9 Chase activity</x:v>
      </x:c>
      <x:c r="K68" s="396" t="str">
        <x:v>Chase pending — Sep 9</x:v>
      </x:c>
      <x:c r="L68" s="396" t="str">
        <x:v>Pending list</x:v>
      </x:c>
      <x:c r="M68" s="396" t="str">
        <x:v>Verified</x:v>
      </x:c>
    </x:row>
    <x:row r="69">
      <x:c r="A69" s="396" t="str">
        <x:v>Discover</x:v>
      </x:c>
      <x:c r="B69" s="414" t="n">
        <x:v>46273</x:v>
      </x:c>
      <x:c r="C69" s="396" t="str">
        <x:v>NATIONWIDE PET</x:v>
      </x:c>
      <x:c r="D69" s="395" t="n">
        <x:v>48.27</x:v>
      </x:c>
      <x:c r="E69" s="396" t="str">
        <x:v>Pending</x:v>
      </x:c>
      <x:c r="F69" s="396" t="str">
        <x:v>Pet costs</x:v>
      </x:c>
      <x:c r="G69" s="396" t="str">
        <x:v>Include</x:v>
      </x:c>
      <x:c r="H69" s="508" t="n">
        <x:f>IF(B69="","",B69-WEEKDAY(B69-2,1)+1)</x:f>
        <x:v>46273</x:v>
      </x:c>
      <x:c r="I69" s="396" t="str">
        <x:v>discover-2026-09-08-nationwidepet-4827</x:v>
      </x:c>
      <x:c r="J69" s="396" t="str">
        <x:v>Monthly pet insurance; confirmed by user from Sep. 9 Discover screenshot</x:v>
      </x:c>
      <x:c r="K69" s="396" t="str">
        <x:v>2026-09-09 Discover balance / activity</x:v>
      </x:c>
      <x:c r="L69" s="396" t="str">
        <x:v>Recent activity</x:v>
      </x:c>
      <x:c r="M69" s="396" t="str">
        <x:v>Verified</x:v>
      </x:c>
    </x:row>
    <x:row r="70">
      <x:c r="A70" s="396"/>
      <x:c r="B70" s="414"/>
      <x:c r="C70" s="396"/>
      <x:c r="D70" s="395"/>
      <x:c r="E70" s="396"/>
      <x:c r="F70" s="396"/>
      <x:c r="G70" s="396"/>
      <x:c r="H70" s="508" t="str">
        <x:f>IF(B70="","",B70-WEEKDAY(B70-2,1)+1)</x:f>
      </x:c>
      <x:c r="I70" s="396"/>
      <x:c r="J70" s="396"/>
      <x:c r="K70" s="396"/>
      <x:c r="L70" s="396"/>
      <x:c r="M70" s="396"/>
    </x:row>
    <x:row r="71">
      <x:c r="A71" s="396"/>
      <x:c r="B71" s="414"/>
      <x:c r="C71" s="396"/>
      <x:c r="D71" s="395"/>
      <x:c r="E71" s="396"/>
      <x:c r="F71" s="396"/>
      <x:c r="G71" s="396"/>
      <x:c r="H71" s="508" t="str">
        <x:f>IF(B71="","",B71-WEEKDAY(B71-2,1)+1)</x:f>
      </x:c>
      <x:c r="I71" s="396"/>
      <x:c r="J71" s="396"/>
      <x:c r="K71" s="396"/>
      <x:c r="L71" s="396"/>
      <x:c r="M71" s="396"/>
    </x:row>
    <x:row r="72">
      <x:c r="A72" s="396"/>
      <x:c r="B72" s="414"/>
      <x:c r="C72" s="396"/>
      <x:c r="D72" s="395"/>
      <x:c r="E72" s="396"/>
      <x:c r="F72" s="396"/>
      <x:c r="G72" s="396"/>
      <x:c r="H72" s="508" t="str">
        <x:f>IF(B72="","",B72-WEEKDAY(B72-2,1)+1)</x:f>
      </x:c>
      <x:c r="I72" s="396"/>
      <x:c r="J72" s="396"/>
      <x:c r="K72" s="396"/>
      <x:c r="L72" s="396"/>
      <x:c r="M72" s="396"/>
    </x:row>
    <x:row r="73">
      <x:c r="A73" s="396"/>
      <x:c r="B73" s="414"/>
      <x:c r="C73" s="396"/>
      <x:c r="D73" s="395"/>
      <x:c r="E73" s="396"/>
      <x:c r="F73" s="396"/>
      <x:c r="G73" s="396"/>
      <x:c r="H73" s="508" t="str">
        <x:f>IF(B73="","",B73-WEEKDAY(B73-2,1)+1)</x:f>
      </x:c>
      <x:c r="I73" s="396"/>
      <x:c r="J73" s="396"/>
      <x:c r="K73" s="396"/>
      <x:c r="L73" s="396"/>
      <x:c r="M73" s="396"/>
    </x:row>
    <x:row r="74">
      <x:c r="A74" s="396"/>
      <x:c r="B74" s="414"/>
      <x:c r="C74" s="396"/>
      <x:c r="D74" s="395"/>
      <x:c r="E74" s="396"/>
      <x:c r="F74" s="396"/>
      <x:c r="G74" s="396"/>
      <x:c r="H74" s="508" t="str">
        <x:f>IF(B74="","",B74-WEEKDAY(B74-2,1)+1)</x:f>
      </x:c>
      <x:c r="I74" s="396"/>
      <x:c r="J74" s="396"/>
      <x:c r="K74" s="396"/>
      <x:c r="L74" s="396"/>
      <x:c r="M74" s="396"/>
    </x:row>
    <x:row r="75">
      <x:c r="A75" s="396"/>
      <x:c r="B75" s="414"/>
      <x:c r="C75" s="396"/>
      <x:c r="D75" s="395"/>
      <x:c r="E75" s="396"/>
      <x:c r="F75" s="396"/>
      <x:c r="G75" s="396"/>
      <x:c r="H75" s="508" t="str">
        <x:f>IF(B75="","",B75-WEEKDAY(B75-2,1)+1)</x:f>
      </x:c>
      <x:c r="I75" s="396"/>
      <x:c r="J75" s="396"/>
      <x:c r="K75" s="396"/>
      <x:c r="L75" s="396"/>
      <x:c r="M75" s="396"/>
    </x:row>
    <x:row r="76">
      <x:c r="A76" s="396"/>
      <x:c r="B76" s="414"/>
      <x:c r="C76" s="396"/>
      <x:c r="D76" s="395"/>
      <x:c r="E76" s="396"/>
      <x:c r="F76" s="396"/>
      <x:c r="G76" s="396"/>
      <x:c r="H76" s="508" t="str">
        <x:f>IF(B76="","",B76-WEEKDAY(B76-2,1)+1)</x:f>
      </x:c>
      <x:c r="I76" s="396"/>
      <x:c r="J76" s="396"/>
      <x:c r="K76" s="396"/>
      <x:c r="L76" s="396"/>
      <x:c r="M76" s="396"/>
    </x:row>
    <x:row r="77">
      <x:c r="A77" s="396"/>
      <x:c r="B77" s="414"/>
      <x:c r="C77" s="396"/>
      <x:c r="D77" s="395"/>
      <x:c r="E77" s="396"/>
      <x:c r="F77" s="396"/>
      <x:c r="G77" s="396"/>
      <x:c r="H77" s="508" t="str">
        <x:f>IF(B77="","",B77-WEEKDAY(B77-2,1)+1)</x:f>
      </x:c>
      <x:c r="I77" s="396"/>
      <x:c r="J77" s="396"/>
      <x:c r="K77" s="396"/>
      <x:c r="L77" s="396"/>
      <x:c r="M77" s="396"/>
    </x:row>
    <x:row r="78">
      <x:c r="A78" s="396"/>
      <x:c r="B78" s="414"/>
      <x:c r="C78" s="396"/>
      <x:c r="D78" s="395"/>
      <x:c r="E78" s="396"/>
      <x:c r="F78" s="396"/>
      <x:c r="G78" s="396"/>
      <x:c r="H78" s="508" t="str">
        <x:f>IF(B78="","",B78-WEEKDAY(B78-2,1)+1)</x:f>
      </x:c>
      <x:c r="I78" s="396"/>
      <x:c r="J78" s="396"/>
      <x:c r="K78" s="396"/>
      <x:c r="L78" s="396"/>
      <x:c r="M78" s="396"/>
    </x:row>
    <x:row r="79">
      <x:c r="A79" s="396"/>
      <x:c r="B79" s="414"/>
      <x:c r="C79" s="396"/>
      <x:c r="D79" s="395"/>
      <x:c r="E79" s="396"/>
      <x:c r="F79" s="396"/>
      <x:c r="G79" s="396"/>
      <x:c r="H79" s="508" t="str">
        <x:f>IF(B79="","",B79-WEEKDAY(B79-2,1)+1)</x:f>
      </x:c>
      <x:c r="I79" s="396"/>
      <x:c r="J79" s="396"/>
      <x:c r="K79" s="396"/>
      <x:c r="L79" s="396"/>
      <x:c r="M79" s="396"/>
    </x:row>
    <x:row r="80">
      <x:c r="A80" s="396"/>
      <x:c r="B80" s="414"/>
      <x:c r="C80" s="396"/>
      <x:c r="D80" s="395"/>
      <x:c r="E80" s="396"/>
      <x:c r="F80" s="396"/>
      <x:c r="G80" s="396"/>
      <x:c r="H80" s="508" t="str">
        <x:f>IF(B80="","",B80-WEEKDAY(B80-2,1)+1)</x:f>
      </x:c>
      <x:c r="I80" s="396"/>
      <x:c r="J80" s="396"/>
      <x:c r="K80" s="396"/>
      <x:c r="L80" s="396"/>
      <x:c r="M80" s="396"/>
    </x:row>
    <x:row r="81">
      <x:c r="A81" s="396"/>
      <x:c r="B81" s="414"/>
      <x:c r="C81" s="396"/>
      <x:c r="D81" s="395"/>
      <x:c r="E81" s="396"/>
      <x:c r="F81" s="396"/>
      <x:c r="G81" s="396"/>
      <x:c r="H81" s="508" t="str">
        <x:f>IF(B81="","",B81-WEEKDAY(B81-2,1)+1)</x:f>
      </x:c>
      <x:c r="I81" s="396"/>
      <x:c r="J81" s="396"/>
      <x:c r="K81" s="396"/>
      <x:c r="L81" s="396"/>
      <x:c r="M81" s="396"/>
    </x:row>
    <x:row r="82">
      <x:c r="A82" s="396"/>
      <x:c r="B82" s="414"/>
      <x:c r="C82" s="396"/>
      <x:c r="D82" s="395"/>
      <x:c r="E82" s="396"/>
      <x:c r="F82" s="396"/>
      <x:c r="G82" s="396"/>
      <x:c r="H82" s="508" t="str">
        <x:f>IF(B82="","",B82-WEEKDAY(B82-2,1)+1)</x:f>
      </x:c>
      <x:c r="I82" s="396"/>
      <x:c r="J82" s="396"/>
      <x:c r="K82" s="396"/>
      <x:c r="L82" s="396"/>
      <x:c r="M82" s="396"/>
    </x:row>
    <x:row r="83">
      <x:c r="A83" s="396"/>
      <x:c r="B83" s="414"/>
      <x:c r="C83" s="396"/>
      <x:c r="D83" s="395"/>
      <x:c r="E83" s="396"/>
      <x:c r="F83" s="396"/>
      <x:c r="G83" s="396"/>
      <x:c r="H83" s="508" t="str">
        <x:f>IF(B83="","",B83-WEEKDAY(B83-2,1)+1)</x:f>
      </x:c>
      <x:c r="I83" s="396"/>
      <x:c r="J83" s="396"/>
      <x:c r="K83" s="396"/>
      <x:c r="L83" s="396"/>
      <x:c r="M83" s="396"/>
    </x:row>
    <x:row r="84">
      <x:c r="A84" s="396"/>
      <x:c r="B84" s="414"/>
      <x:c r="C84" s="396"/>
      <x:c r="D84" s="395"/>
      <x:c r="E84" s="396"/>
      <x:c r="F84" s="396"/>
      <x:c r="G84" s="396"/>
      <x:c r="H84" s="508" t="str">
        <x:f>IF(B84="","",B84-WEEKDAY(B84-2,1)+1)</x:f>
      </x:c>
      <x:c r="I84" s="396"/>
      <x:c r="J84" s="396"/>
      <x:c r="K84" s="396"/>
      <x:c r="L84" s="396"/>
      <x:c r="M84" s="396"/>
    </x:row>
    <x:row r="85">
      <x:c r="A85" s="396"/>
      <x:c r="B85" s="414"/>
      <x:c r="C85" s="396"/>
      <x:c r="D85" s="395"/>
      <x:c r="E85" s="396"/>
      <x:c r="F85" s="396"/>
      <x:c r="G85" s="396"/>
      <x:c r="H85" s="508" t="str">
        <x:f>IF(B85="","",B85-WEEKDAY(B85-2,1)+1)</x:f>
      </x:c>
      <x:c r="I85" s="396"/>
      <x:c r="J85" s="396"/>
      <x:c r="K85" s="396"/>
      <x:c r="L85" s="396"/>
      <x:c r="M85" s="396"/>
    </x:row>
    <x:row r="86">
      <x:c r="A86" s="396"/>
      <x:c r="B86" s="414"/>
      <x:c r="C86" s="396"/>
      <x:c r="D86" s="395"/>
      <x:c r="E86" s="396"/>
      <x:c r="F86" s="396"/>
      <x:c r="G86" s="396"/>
      <x:c r="H86" s="508" t="str">
        <x:f>IF(B86="","",B86-WEEKDAY(B86-2,1)+1)</x:f>
      </x:c>
      <x:c r="I86" s="396"/>
      <x:c r="J86" s="396"/>
      <x:c r="K86" s="396"/>
      <x:c r="L86" s="396"/>
      <x:c r="M86" s="396"/>
    </x:row>
    <x:row r="87">
      <x:c r="A87" s="396"/>
      <x:c r="B87" s="414"/>
      <x:c r="C87" s="396"/>
      <x:c r="D87" s="395"/>
      <x:c r="E87" s="396"/>
      <x:c r="F87" s="396"/>
      <x:c r="G87" s="396"/>
      <x:c r="H87" s="508" t="str">
        <x:f>IF(B87="","",B87-WEEKDAY(B87-2,1)+1)</x:f>
      </x:c>
      <x:c r="I87" s="396"/>
      <x:c r="J87" s="396"/>
      <x:c r="K87" s="396"/>
      <x:c r="L87" s="396"/>
      <x:c r="M87" s="396"/>
    </x:row>
    <x:row r="88">
      <x:c r="A88" s="396"/>
      <x:c r="B88" s="414"/>
      <x:c r="C88" s="396"/>
      <x:c r="D88" s="395"/>
      <x:c r="E88" s="396"/>
      <x:c r="F88" s="396"/>
      <x:c r="G88" s="396"/>
      <x:c r="H88" s="508" t="str">
        <x:f>IF(B88="","",B88-WEEKDAY(B88-2,1)+1)</x:f>
      </x:c>
      <x:c r="I88" s="396"/>
      <x:c r="J88" s="396"/>
      <x:c r="K88" s="396"/>
      <x:c r="L88" s="396"/>
      <x:c r="M88" s="396"/>
    </x:row>
    <x:row r="89">
      <x:c r="A89" s="396"/>
      <x:c r="B89" s="414"/>
      <x:c r="C89" s="396"/>
      <x:c r="D89" s="395"/>
      <x:c r="E89" s="396"/>
      <x:c r="F89" s="396"/>
      <x:c r="G89" s="396"/>
      <x:c r="H89" s="508" t="str">
        <x:f>IF(B89="","",B89-WEEKDAY(B89-2,1)+1)</x:f>
      </x:c>
      <x:c r="I89" s="396"/>
      <x:c r="J89" s="396"/>
      <x:c r="K89" s="396"/>
      <x:c r="L89" s="396"/>
      <x:c r="M89" s="396"/>
    </x:row>
    <x:row r="90">
      <x:c r="A90" s="396"/>
      <x:c r="B90" s="414"/>
      <x:c r="C90" s="396"/>
      <x:c r="D90" s="395"/>
      <x:c r="E90" s="396"/>
      <x:c r="F90" s="396"/>
      <x:c r="G90" s="396"/>
      <x:c r="H90" s="508" t="str">
        <x:f>IF(B90="","",B90-WEEKDAY(B90-2,1)+1)</x:f>
      </x:c>
      <x:c r="I90" s="396"/>
      <x:c r="J90" s="396"/>
      <x:c r="K90" s="396"/>
      <x:c r="L90" s="396"/>
      <x:c r="M90" s="396"/>
    </x:row>
    <x:row r="91">
      <x:c r="A91" s="396"/>
      <x:c r="B91" s="414"/>
      <x:c r="C91" s="396"/>
      <x:c r="D91" s="395"/>
      <x:c r="E91" s="396"/>
      <x:c r="F91" s="396"/>
      <x:c r="G91" s="396"/>
      <x:c r="H91" s="508" t="str">
        <x:f>IF(B91="","",B91-WEEKDAY(B91-2,1)+1)</x:f>
      </x:c>
      <x:c r="I91" s="396"/>
      <x:c r="J91" s="396"/>
      <x:c r="K91" s="396"/>
      <x:c r="L91" s="396"/>
      <x:c r="M91" s="396"/>
    </x:row>
    <x:row r="92">
      <x:c r="A92" s="396"/>
      <x:c r="B92" s="414"/>
      <x:c r="C92" s="396"/>
      <x:c r="D92" s="395"/>
      <x:c r="E92" s="396"/>
      <x:c r="F92" s="396"/>
      <x:c r="G92" s="396"/>
      <x:c r="H92" s="508" t="str">
        <x:f>IF(B92="","",B92-WEEKDAY(B92-2,1)+1)</x:f>
      </x:c>
      <x:c r="I92" s="396"/>
      <x:c r="J92" s="396"/>
      <x:c r="K92" s="396"/>
      <x:c r="L92" s="396"/>
      <x:c r="M92" s="396"/>
    </x:row>
    <x:row r="93">
      <x:c r="A93" s="396"/>
      <x:c r="B93" s="414"/>
      <x:c r="C93" s="396"/>
      <x:c r="D93" s="395"/>
      <x:c r="E93" s="396"/>
      <x:c r="F93" s="396"/>
      <x:c r="G93" s="396"/>
      <x:c r="H93" s="508" t="str">
        <x:f>IF(B93="","",B93-WEEKDAY(B93-2,1)+1)</x:f>
      </x:c>
      <x:c r="I93" s="396"/>
      <x:c r="J93" s="396"/>
      <x:c r="K93" s="396"/>
      <x:c r="L93" s="396"/>
      <x:c r="M93" s="396"/>
    </x:row>
    <x:row r="94">
      <x:c r="A94" s="396"/>
      <x:c r="B94" s="414"/>
      <x:c r="C94" s="396"/>
      <x:c r="D94" s="395"/>
      <x:c r="E94" s="396"/>
      <x:c r="F94" s="396"/>
      <x:c r="G94" s="396"/>
      <x:c r="H94" s="508" t="str">
        <x:f>IF(B94="","",B94-WEEKDAY(B94-2,1)+1)</x:f>
      </x:c>
      <x:c r="I94" s="396"/>
      <x:c r="J94" s="396"/>
      <x:c r="K94" s="396"/>
      <x:c r="L94" s="396"/>
      <x:c r="M94" s="396"/>
    </x:row>
    <x:row r="95">
      <x:c r="A95" s="396"/>
      <x:c r="B95" s="414"/>
      <x:c r="C95" s="396"/>
      <x:c r="D95" s="395"/>
      <x:c r="E95" s="396"/>
      <x:c r="F95" s="396"/>
      <x:c r="G95" s="396"/>
      <x:c r="H95" s="508" t="str">
        <x:f>IF(B95="","",B95-WEEKDAY(B95-2,1)+1)</x:f>
      </x:c>
      <x:c r="I95" s="396"/>
      <x:c r="J95" s="396"/>
      <x:c r="K95" s="396"/>
      <x:c r="L95" s="396"/>
      <x:c r="M95" s="396"/>
    </x:row>
    <x:row r="96">
      <x:c r="A96" s="396"/>
      <x:c r="B96" s="414"/>
      <x:c r="C96" s="396"/>
      <x:c r="D96" s="395"/>
      <x:c r="E96" s="396"/>
      <x:c r="F96" s="396"/>
      <x:c r="G96" s="396"/>
      <x:c r="H96" s="508" t="str">
        <x:f>IF(B96="","",B96-WEEKDAY(B96-2,1)+1)</x:f>
      </x:c>
      <x:c r="I96" s="396"/>
      <x:c r="J96" s="396"/>
      <x:c r="K96" s="396"/>
      <x:c r="L96" s="396"/>
      <x:c r="M96" s="396"/>
    </x:row>
    <x:row r="97">
      <x:c r="A97" s="396"/>
      <x:c r="B97" s="414"/>
      <x:c r="C97" s="396"/>
      <x:c r="D97" s="395"/>
      <x:c r="E97" s="396"/>
      <x:c r="F97" s="396"/>
      <x:c r="G97" s="396"/>
      <x:c r="H97" s="508" t="str">
        <x:f>IF(B97="","",B97-WEEKDAY(B97-2,1)+1)</x:f>
      </x:c>
      <x:c r="I97" s="396"/>
      <x:c r="J97" s="396"/>
      <x:c r="K97" s="396"/>
      <x:c r="L97" s="396"/>
      <x:c r="M97" s="396"/>
    </x:row>
    <x:row r="98">
      <x:c r="A98" s="396"/>
      <x:c r="B98" s="414"/>
      <x:c r="C98" s="396"/>
      <x:c r="D98" s="395"/>
      <x:c r="E98" s="396"/>
      <x:c r="F98" s="396"/>
      <x:c r="G98" s="396"/>
      <x:c r="H98" s="508" t="str">
        <x:f>IF(B98="","",B98-WEEKDAY(B98-2,1)+1)</x:f>
      </x:c>
      <x:c r="I98" s="396"/>
      <x:c r="J98" s="396"/>
      <x:c r="K98" s="396"/>
      <x:c r="L98" s="396"/>
      <x:c r="M98" s="396"/>
    </x:row>
    <x:row r="99">
      <x:c r="A99" s="396"/>
      <x:c r="B99" s="414"/>
      <x:c r="C99" s="396"/>
      <x:c r="D99" s="395"/>
      <x:c r="E99" s="396"/>
      <x:c r="F99" s="396"/>
      <x:c r="G99" s="396"/>
      <x:c r="H99" s="508" t="str">
        <x:f>IF(B99="","",B99-WEEKDAY(B99-2,1)+1)</x:f>
      </x:c>
      <x:c r="I99" s="396"/>
      <x:c r="J99" s="396"/>
      <x:c r="K99" s="396"/>
      <x:c r="L99" s="396"/>
      <x:c r="M99" s="396"/>
    </x:row>
    <x:row r="100">
      <x:c r="A100" s="396"/>
      <x:c r="B100" s="414"/>
      <x:c r="C100" s="396"/>
      <x:c r="D100" s="395"/>
      <x:c r="E100" s="396"/>
      <x:c r="F100" s="396"/>
      <x:c r="G100" s="396"/>
      <x:c r="H100" s="508" t="str">
        <x:f>IF(B100="","",B100-WEEKDAY(B100-2,1)+1)</x:f>
      </x:c>
      <x:c r="I100" s="396"/>
      <x:c r="J100" s="396"/>
      <x:c r="K100" s="396"/>
      <x:c r="L100" s="396"/>
      <x:c r="M100" s="396"/>
    </x:row>
    <x:row r="101">
      <x:c r="A101" s="396"/>
      <x:c r="B101" s="414"/>
      <x:c r="C101" s="396"/>
      <x:c r="D101" s="395"/>
      <x:c r="E101" s="396"/>
      <x:c r="F101" s="396"/>
      <x:c r="G101" s="396"/>
      <x:c r="H101" s="508" t="str">
        <x:f>IF(B101="","",B101-WEEKDAY(B101-2,1)+1)</x:f>
      </x:c>
      <x:c r="I101" s="396"/>
      <x:c r="J101" s="396"/>
      <x:c r="K101" s="396"/>
      <x:c r="L101" s="396"/>
      <x:c r="M101" s="396"/>
    </x:row>
    <x:row r="102">
      <x:c r="A102" s="396"/>
      <x:c r="B102" s="414"/>
      <x:c r="C102" s="396"/>
      <x:c r="D102" s="395"/>
      <x:c r="E102" s="396"/>
      <x:c r="F102" s="396"/>
      <x:c r="G102" s="396"/>
      <x:c r="H102" s="508" t="str">
        <x:f>IF(B102="","",B102-WEEKDAY(B102-2,1)+1)</x:f>
      </x:c>
      <x:c r="I102" s="396"/>
      <x:c r="J102" s="396"/>
      <x:c r="K102" s="396"/>
      <x:c r="L102" s="396"/>
      <x:c r="M102" s="396"/>
    </x:row>
    <x:row r="103">
      <x:c r="A103" s="396"/>
      <x:c r="B103" s="414"/>
      <x:c r="C103" s="396"/>
      <x:c r="D103" s="395"/>
      <x:c r="E103" s="396"/>
      <x:c r="F103" s="396"/>
      <x:c r="G103" s="396"/>
      <x:c r="H103" s="508" t="str">
        <x:f>IF(B103="","",B103-WEEKDAY(B103-2,1)+1)</x:f>
      </x:c>
      <x:c r="I103" s="396"/>
      <x:c r="J103" s="396"/>
      <x:c r="K103" s="396"/>
      <x:c r="L103" s="396"/>
      <x:c r="M103" s="396"/>
    </x:row>
    <x:row r="104">
      <x:c r="A104" s="396"/>
      <x:c r="B104" s="414"/>
      <x:c r="C104" s="396"/>
      <x:c r="D104" s="395"/>
      <x:c r="E104" s="396"/>
      <x:c r="F104" s="396"/>
      <x:c r="G104" s="396"/>
      <x:c r="H104" s="508" t="str">
        <x:f>IF(B104="","",B104-WEEKDAY(B104-2,1)+1)</x:f>
      </x:c>
      <x:c r="I104" s="396"/>
      <x:c r="J104" s="396"/>
      <x:c r="K104" s="396"/>
      <x:c r="L104" s="396"/>
      <x:c r="M104" s="396"/>
    </x:row>
    <x:row r="105">
      <x:c r="A105" s="396"/>
      <x:c r="B105" s="414"/>
      <x:c r="C105" s="396"/>
      <x:c r="D105" s="395"/>
      <x:c r="E105" s="396"/>
      <x:c r="F105" s="396"/>
      <x:c r="G105" s="396"/>
      <x:c r="H105" s="508" t="str">
        <x:f>IF(B105="","",B105-WEEKDAY(B105-2,1)+1)</x:f>
      </x:c>
      <x:c r="I105" s="396"/>
      <x:c r="J105" s="396"/>
      <x:c r="K105" s="396"/>
      <x:c r="L105" s="396"/>
      <x:c r="M105" s="396"/>
    </x:row>
    <x:row r="106">
      <x:c r="A106" s="396"/>
      <x:c r="B106" s="414"/>
      <x:c r="C106" s="396"/>
      <x:c r="D106" s="395"/>
      <x:c r="E106" s="396"/>
      <x:c r="F106" s="396"/>
      <x:c r="G106" s="396"/>
      <x:c r="H106" s="508" t="str">
        <x:f>IF(B106="","",B106-WEEKDAY(B106-2,1)+1)</x:f>
      </x:c>
      <x:c r="I106" s="396"/>
      <x:c r="J106" s="396"/>
      <x:c r="K106" s="396"/>
      <x:c r="L106" s="396"/>
      <x:c r="M106" s="396"/>
    </x:row>
    <x:row r="107">
      <x:c r="A107" s="396"/>
      <x:c r="B107" s="414"/>
      <x:c r="C107" s="396"/>
      <x:c r="D107" s="395"/>
      <x:c r="E107" s="396"/>
      <x:c r="F107" s="396"/>
      <x:c r="G107" s="396"/>
      <x:c r="H107" s="508" t="str">
        <x:f>IF(B107="","",B107-WEEKDAY(B107-2,1)+1)</x:f>
      </x:c>
      <x:c r="I107" s="396"/>
      <x:c r="J107" s="396"/>
      <x:c r="K107" s="396"/>
      <x:c r="L107" s="396"/>
      <x:c r="M107" s="396"/>
    </x:row>
    <x:row r="108">
      <x:c r="A108" s="396"/>
      <x:c r="B108" s="414"/>
      <x:c r="C108" s="396"/>
      <x:c r="D108" s="395"/>
      <x:c r="E108" s="396"/>
      <x:c r="F108" s="396"/>
      <x:c r="G108" s="396"/>
      <x:c r="H108" s="508" t="str">
        <x:f>IF(B108="","",B108-WEEKDAY(B108-2,1)+1)</x:f>
      </x:c>
      <x:c r="I108" s="396"/>
      <x:c r="J108" s="396"/>
      <x:c r="K108" s="396"/>
      <x:c r="L108" s="396"/>
      <x:c r="M108" s="396"/>
    </x:row>
    <x:row r="109">
      <x:c r="A109" s="396"/>
      <x:c r="B109" s="414"/>
      <x:c r="C109" s="396"/>
      <x:c r="D109" s="395"/>
      <x:c r="E109" s="396"/>
      <x:c r="F109" s="396"/>
      <x:c r="G109" s="396"/>
      <x:c r="H109" s="508" t="str">
        <x:f>IF(B109="","",B109-WEEKDAY(B109-2,1)+1)</x:f>
      </x:c>
      <x:c r="I109" s="396"/>
      <x:c r="J109" s="396"/>
      <x:c r="K109" s="396"/>
      <x:c r="L109" s="396"/>
      <x:c r="M109" s="396"/>
    </x:row>
    <x:row r="110">
      <x:c r="A110" s="396"/>
      <x:c r="B110" s="414"/>
      <x:c r="C110" s="396"/>
      <x:c r="D110" s="395"/>
      <x:c r="E110" s="396"/>
      <x:c r="F110" s="396"/>
      <x:c r="G110" s="396"/>
      <x:c r="H110" s="508" t="str">
        <x:f>IF(B110="","",B110-WEEKDAY(B110-2,1)+1)</x:f>
      </x:c>
      <x:c r="I110" s="396"/>
      <x:c r="J110" s="396"/>
      <x:c r="K110" s="396"/>
      <x:c r="L110" s="396"/>
      <x:c r="M110" s="396"/>
    </x:row>
    <x:row r="111">
      <x:c r="A111" s="396"/>
      <x:c r="B111" s="414"/>
      <x:c r="C111" s="396"/>
      <x:c r="D111" s="395"/>
      <x:c r="E111" s="396"/>
      <x:c r="F111" s="396"/>
      <x:c r="G111" s="396"/>
      <x:c r="H111" s="508" t="str">
        <x:f>IF(B111="","",B111-WEEKDAY(B111-2,1)+1)</x:f>
      </x:c>
      <x:c r="I111" s="396"/>
      <x:c r="J111" s="396"/>
      <x:c r="K111" s="396"/>
      <x:c r="L111" s="396"/>
      <x:c r="M111" s="396"/>
    </x:row>
    <x:row r="112">
      <x:c r="A112" s="396"/>
      <x:c r="B112" s="414"/>
      <x:c r="C112" s="396"/>
      <x:c r="D112" s="395"/>
      <x:c r="E112" s="396"/>
      <x:c r="F112" s="396"/>
      <x:c r="G112" s="396"/>
      <x:c r="H112" s="508" t="str">
        <x:f>IF(B112="","",B112-WEEKDAY(B112-2,1)+1)</x:f>
      </x:c>
      <x:c r="I112" s="396"/>
      <x:c r="J112" s="396"/>
      <x:c r="K112" s="396"/>
      <x:c r="L112" s="396"/>
      <x:c r="M112" s="396"/>
    </x:row>
    <x:row r="113">
      <x:c r="A113" s="396"/>
      <x:c r="B113" s="414"/>
      <x:c r="C113" s="396"/>
      <x:c r="D113" s="395"/>
      <x:c r="E113" s="396"/>
      <x:c r="F113" s="396"/>
      <x:c r="G113" s="396"/>
      <x:c r="H113" s="508" t="str">
        <x:f>IF(B113="","",B113-WEEKDAY(B113-2,1)+1)</x:f>
      </x:c>
      <x:c r="I113" s="396"/>
      <x:c r="J113" s="396"/>
      <x:c r="K113" s="396"/>
      <x:c r="L113" s="396"/>
      <x:c r="M113" s="396"/>
    </x:row>
    <x:row r="114">
      <x:c r="A114" s="396"/>
      <x:c r="B114" s="414"/>
      <x:c r="C114" s="396"/>
      <x:c r="D114" s="395"/>
      <x:c r="E114" s="396"/>
      <x:c r="F114" s="396"/>
      <x:c r="G114" s="396"/>
      <x:c r="H114" s="508" t="str">
        <x:f>IF(B114="","",B114-WEEKDAY(B114-2,1)+1)</x:f>
      </x:c>
      <x:c r="I114" s="396"/>
      <x:c r="J114" s="396"/>
      <x:c r="K114" s="396"/>
      <x:c r="L114" s="396"/>
      <x:c r="M114" s="396"/>
    </x:row>
    <x:row r="115">
      <x:c r="A115" s="396"/>
      <x:c r="B115" s="414"/>
      <x:c r="C115" s="396"/>
      <x:c r="D115" s="395"/>
      <x:c r="E115" s="396"/>
      <x:c r="F115" s="396"/>
      <x:c r="G115" s="396"/>
      <x:c r="H115" s="508" t="str">
        <x:f>IF(B115="","",B115-WEEKDAY(B115-2,1)+1)</x:f>
      </x:c>
      <x:c r="I115" s="396"/>
      <x:c r="J115" s="396"/>
      <x:c r="K115" s="396"/>
      <x:c r="L115" s="396"/>
      <x:c r="M115" s="396"/>
    </x:row>
    <x:row r="116">
      <x:c r="A116" s="396"/>
      <x:c r="B116" s="414"/>
      <x:c r="C116" s="396"/>
      <x:c r="D116" s="395"/>
      <x:c r="E116" s="396"/>
      <x:c r="F116" s="396"/>
      <x:c r="G116" s="396"/>
      <x:c r="H116" s="508" t="str">
        <x:f>IF(B116="","",B116-WEEKDAY(B116-2,1)+1)</x:f>
      </x:c>
      <x:c r="I116" s="396"/>
      <x:c r="J116" s="396"/>
      <x:c r="K116" s="396"/>
      <x:c r="L116" s="396"/>
      <x:c r="M116" s="396"/>
    </x:row>
    <x:row r="117">
      <x:c r="A117" s="396"/>
      <x:c r="B117" s="414"/>
      <x:c r="C117" s="396"/>
      <x:c r="D117" s="395"/>
      <x:c r="E117" s="396"/>
      <x:c r="F117" s="396"/>
      <x:c r="G117" s="396"/>
      <x:c r="H117" s="508" t="str">
        <x:f>IF(B117="","",B117-WEEKDAY(B117-2,1)+1)</x:f>
      </x:c>
      <x:c r="I117" s="396"/>
      <x:c r="J117" s="396"/>
      <x:c r="K117" s="396"/>
      <x:c r="L117" s="396"/>
      <x:c r="M117" s="396"/>
    </x:row>
    <x:row r="118">
      <x:c r="A118" s="396"/>
      <x:c r="B118" s="414"/>
      <x:c r="C118" s="396"/>
      <x:c r="D118" s="395"/>
      <x:c r="E118" s="396"/>
      <x:c r="F118" s="396"/>
      <x:c r="G118" s="396"/>
      <x:c r="H118" s="508" t="str">
        <x:f>IF(B118="","",B118-WEEKDAY(B118-2,1)+1)</x:f>
      </x:c>
      <x:c r="I118" s="396"/>
      <x:c r="J118" s="396"/>
      <x:c r="K118" s="396"/>
      <x:c r="L118" s="396"/>
      <x:c r="M118" s="396"/>
    </x:row>
    <x:row r="119">
      <x:c r="A119" s="396"/>
      <x:c r="B119" s="414"/>
      <x:c r="C119" s="396"/>
      <x:c r="D119" s="395"/>
      <x:c r="E119" s="396"/>
      <x:c r="F119" s="396"/>
      <x:c r="G119" s="396"/>
      <x:c r="H119" s="508" t="str">
        <x:f>IF(B119="","",B119-WEEKDAY(B119-2,1)+1)</x:f>
      </x:c>
      <x:c r="I119" s="396"/>
      <x:c r="J119" s="396"/>
      <x:c r="K119" s="396"/>
      <x:c r="L119" s="396"/>
      <x:c r="M119" s="396"/>
    </x:row>
    <x:row r="120">
      <x:c r="A120" s="396"/>
      <x:c r="B120" s="414"/>
      <x:c r="C120" s="396"/>
      <x:c r="D120" s="395"/>
      <x:c r="E120" s="396"/>
      <x:c r="F120" s="396"/>
      <x:c r="G120" s="396"/>
      <x:c r="H120" s="508" t="str">
        <x:f>IF(B120="","",B120-WEEKDAY(B120-2,1)+1)</x:f>
      </x:c>
      <x:c r="I120" s="396"/>
      <x:c r="J120" s="396"/>
      <x:c r="K120" s="396"/>
      <x:c r="L120" s="396"/>
      <x:c r="M120" s="396"/>
    </x:row>
    <x:row r="121">
      <x:c r="A121" s="396"/>
      <x:c r="B121" s="414"/>
      <x:c r="C121" s="396"/>
      <x:c r="D121" s="395"/>
      <x:c r="E121" s="396"/>
      <x:c r="F121" s="396"/>
      <x:c r="G121" s="396"/>
      <x:c r="H121" s="508" t="str">
        <x:f>IF(B121="","",B121-WEEKDAY(B121-2,1)+1)</x:f>
      </x:c>
      <x:c r="I121" s="396"/>
      <x:c r="J121" s="396"/>
      <x:c r="K121" s="396"/>
      <x:c r="L121" s="396"/>
      <x:c r="M121" s="396"/>
    </x:row>
    <x:row r="122">
      <x:c r="A122" s="396"/>
      <x:c r="B122" s="414"/>
      <x:c r="C122" s="396"/>
      <x:c r="D122" s="395"/>
      <x:c r="E122" s="396"/>
      <x:c r="F122" s="396"/>
      <x:c r="G122" s="396"/>
      <x:c r="H122" s="508" t="str">
        <x:f>IF(B122="","",B122-WEEKDAY(B122-2,1)+1)</x:f>
      </x:c>
      <x:c r="I122" s="396"/>
      <x:c r="J122" s="396"/>
      <x:c r="K122" s="396"/>
      <x:c r="L122" s="396"/>
      <x:c r="M122" s="396"/>
    </x:row>
    <x:row r="123">
      <x:c r="A123" s="396"/>
      <x:c r="B123" s="414"/>
      <x:c r="C123" s="396"/>
      <x:c r="D123" s="395"/>
      <x:c r="E123" s="396"/>
      <x:c r="F123" s="396"/>
      <x:c r="G123" s="396"/>
      <x:c r="H123" s="508" t="str">
        <x:f>IF(B123="","",B123-WEEKDAY(B123-2,1)+1)</x:f>
      </x:c>
      <x:c r="I123" s="396"/>
      <x:c r="J123" s="396"/>
      <x:c r="K123" s="396"/>
      <x:c r="L123" s="396"/>
      <x:c r="M123" s="396"/>
    </x:row>
    <x:row r="124">
      <x:c r="A124" s="396"/>
      <x:c r="B124" s="414"/>
      <x:c r="C124" s="396"/>
      <x:c r="D124" s="395"/>
      <x:c r="E124" s="396"/>
      <x:c r="F124" s="396"/>
      <x:c r="G124" s="396"/>
      <x:c r="H124" s="508" t="str">
        <x:f>IF(B124="","",B124-WEEKDAY(B124-2,1)+1)</x:f>
      </x:c>
      <x:c r="I124" s="396"/>
      <x:c r="J124" s="396"/>
      <x:c r="K124" s="396"/>
      <x:c r="L124" s="396"/>
      <x:c r="M124" s="396"/>
    </x:row>
    <x:row r="125">
      <x:c r="A125" s="396"/>
      <x:c r="B125" s="414"/>
      <x:c r="C125" s="396"/>
      <x:c r="D125" s="395"/>
      <x:c r="E125" s="396"/>
      <x:c r="F125" s="396"/>
      <x:c r="G125" s="396"/>
      <x:c r="H125" s="508" t="str">
        <x:f>IF(B125="","",B125-WEEKDAY(B125-2,1)+1)</x:f>
      </x:c>
      <x:c r="I125" s="396"/>
      <x:c r="J125" s="396"/>
      <x:c r="K125" s="396"/>
      <x:c r="L125" s="396"/>
      <x:c r="M125" s="396"/>
    </x:row>
    <x:row r="126">
      <x:c r="A126" s="396"/>
      <x:c r="B126" s="414"/>
      <x:c r="C126" s="396"/>
      <x:c r="D126" s="395"/>
      <x:c r="E126" s="396"/>
      <x:c r="F126" s="396"/>
      <x:c r="G126" s="396"/>
      <x:c r="H126" s="508" t="str">
        <x:f>IF(B126="","",B126-WEEKDAY(B126-2,1)+1)</x:f>
      </x:c>
      <x:c r="I126" s="396"/>
      <x:c r="J126" s="396"/>
      <x:c r="K126" s="396"/>
      <x:c r="L126" s="396"/>
      <x:c r="M126" s="396"/>
    </x:row>
    <x:row r="127">
      <x:c r="A127" s="396"/>
      <x:c r="B127" s="414"/>
      <x:c r="C127" s="396"/>
      <x:c r="D127" s="395"/>
      <x:c r="E127" s="396"/>
      <x:c r="F127" s="396"/>
      <x:c r="G127" s="396"/>
      <x:c r="H127" s="508" t="str">
        <x:f>IF(B127="","",B127-WEEKDAY(B127-2,1)+1)</x:f>
      </x:c>
      <x:c r="I127" s="396"/>
      <x:c r="J127" s="396"/>
      <x:c r="K127" s="396"/>
      <x:c r="L127" s="396"/>
      <x:c r="M127" s="396"/>
    </x:row>
    <x:row r="128">
      <x:c r="A128" s="396"/>
      <x:c r="B128" s="414"/>
      <x:c r="C128" s="396"/>
      <x:c r="D128" s="395"/>
      <x:c r="E128" s="396"/>
      <x:c r="F128" s="396"/>
      <x:c r="G128" s="396"/>
      <x:c r="H128" s="508" t="str">
        <x:f>IF(B128="","",B128-WEEKDAY(B128-2,1)+1)</x:f>
      </x:c>
      <x:c r="I128" s="396"/>
      <x:c r="J128" s="396"/>
      <x:c r="K128" s="396"/>
      <x:c r="L128" s="396"/>
      <x:c r="M128" s="396"/>
    </x:row>
    <x:row r="129">
      <x:c r="A129" s="396"/>
      <x:c r="B129" s="414"/>
      <x:c r="C129" s="396"/>
      <x:c r="D129" s="395"/>
      <x:c r="E129" s="396"/>
      <x:c r="F129" s="396"/>
      <x:c r="G129" s="396"/>
      <x:c r="H129" s="508" t="str">
        <x:f>IF(B129="","",B129-WEEKDAY(B129-2,1)+1)</x:f>
      </x:c>
      <x:c r="I129" s="396"/>
      <x:c r="J129" s="396"/>
      <x:c r="K129" s="396"/>
      <x:c r="L129" s="396"/>
      <x:c r="M129" s="396"/>
    </x:row>
    <x:row r="130">
      <x:c r="A130" s="396"/>
      <x:c r="B130" s="414"/>
      <x:c r="C130" s="396"/>
      <x:c r="D130" s="395"/>
      <x:c r="E130" s="396"/>
      <x:c r="F130" s="396"/>
      <x:c r="G130" s="396"/>
      <x:c r="H130" s="508" t="str">
        <x:f>IF(B130="","",B130-WEEKDAY(B130-2,1)+1)</x:f>
      </x:c>
      <x:c r="I130" s="396"/>
      <x:c r="J130" s="396"/>
      <x:c r="K130" s="396"/>
      <x:c r="L130" s="396"/>
      <x:c r="M130" s="396"/>
    </x:row>
    <x:row r="131">
      <x:c r="A131" s="396"/>
      <x:c r="B131" s="414"/>
      <x:c r="C131" s="396"/>
      <x:c r="D131" s="395"/>
      <x:c r="E131" s="396"/>
      <x:c r="F131" s="396"/>
      <x:c r="G131" s="396"/>
      <x:c r="H131" s="508" t="str">
        <x:f>IF(B131="","",B131-WEEKDAY(B131-2,1)+1)</x:f>
      </x:c>
      <x:c r="I131" s="396"/>
      <x:c r="J131" s="396"/>
      <x:c r="K131" s="396"/>
      <x:c r="L131" s="396"/>
      <x:c r="M131" s="396"/>
    </x:row>
    <x:row r="132">
      <x:c r="A132" s="396"/>
      <x:c r="B132" s="414"/>
      <x:c r="C132" s="396"/>
      <x:c r="D132" s="395"/>
      <x:c r="E132" s="396"/>
      <x:c r="F132" s="396"/>
      <x:c r="G132" s="396"/>
      <x:c r="H132" s="508" t="str">
        <x:f>IF(B132="","",B132-WEEKDAY(B132-2,1)+1)</x:f>
      </x:c>
      <x:c r="I132" s="396"/>
      <x:c r="J132" s="396"/>
      <x:c r="K132" s="396"/>
      <x:c r="L132" s="396"/>
      <x:c r="M132" s="396"/>
    </x:row>
    <x:row r="133">
      <x:c r="A133" s="396"/>
      <x:c r="B133" s="414"/>
      <x:c r="C133" s="396"/>
      <x:c r="D133" s="395"/>
      <x:c r="E133" s="396"/>
      <x:c r="F133" s="396"/>
      <x:c r="G133" s="396"/>
      <x:c r="H133" s="508" t="str">
        <x:f>IF(B133="","",B133-WEEKDAY(B133-2,1)+1)</x:f>
      </x:c>
      <x:c r="I133" s="396"/>
      <x:c r="J133" s="396"/>
      <x:c r="K133" s="396"/>
      <x:c r="L133" s="396"/>
      <x:c r="M133" s="396"/>
    </x:row>
    <x:row r="134">
      <x:c r="A134" s="396"/>
      <x:c r="B134" s="414"/>
      <x:c r="C134" s="396"/>
      <x:c r="D134" s="395"/>
      <x:c r="E134" s="396"/>
      <x:c r="F134" s="396"/>
      <x:c r="G134" s="396"/>
      <x:c r="H134" s="508" t="str">
        <x:f>IF(B134="","",B134-WEEKDAY(B134-2,1)+1)</x:f>
      </x:c>
      <x:c r="I134" s="396"/>
      <x:c r="J134" s="396"/>
      <x:c r="K134" s="396"/>
      <x:c r="L134" s="396"/>
      <x:c r="M134" s="396"/>
    </x:row>
    <x:row r="135">
      <x:c r="A135" s="396"/>
      <x:c r="B135" s="414"/>
      <x:c r="C135" s="396"/>
      <x:c r="D135" s="395"/>
      <x:c r="E135" s="396"/>
      <x:c r="F135" s="396"/>
      <x:c r="G135" s="396"/>
      <x:c r="H135" s="508" t="str">
        <x:f>IF(B135="","",B135-WEEKDAY(B135-2,1)+1)</x:f>
      </x:c>
      <x:c r="I135" s="396"/>
      <x:c r="J135" s="396"/>
      <x:c r="K135" s="396"/>
      <x:c r="L135" s="396"/>
      <x:c r="M135" s="396"/>
    </x:row>
    <x:row r="136">
      <x:c r="A136" s="396"/>
      <x:c r="B136" s="414"/>
      <x:c r="C136" s="396"/>
      <x:c r="D136" s="395"/>
      <x:c r="E136" s="396"/>
      <x:c r="F136" s="396"/>
      <x:c r="G136" s="396"/>
      <x:c r="H136" s="508" t="str">
        <x:f>IF(B136="","",B136-WEEKDAY(B136-2,1)+1)</x:f>
      </x:c>
      <x:c r="I136" s="396"/>
      <x:c r="J136" s="396"/>
      <x:c r="K136" s="396"/>
      <x:c r="L136" s="396"/>
      <x:c r="M136" s="396"/>
    </x:row>
    <x:row r="137">
      <x:c r="A137" s="396"/>
      <x:c r="B137" s="414"/>
      <x:c r="C137" s="396"/>
      <x:c r="D137" s="395"/>
      <x:c r="E137" s="396"/>
      <x:c r="F137" s="396"/>
      <x:c r="G137" s="396"/>
      <x:c r="H137" s="508" t="str">
        <x:f>IF(B137="","",B137-WEEKDAY(B137-2,1)+1)</x:f>
      </x:c>
      <x:c r="I137" s="396"/>
      <x:c r="J137" s="396"/>
      <x:c r="K137" s="396"/>
      <x:c r="L137" s="396"/>
      <x:c r="M137" s="396"/>
    </x:row>
    <x:row r="138">
      <x:c r="A138" s="396"/>
      <x:c r="B138" s="414"/>
      <x:c r="C138" s="396"/>
      <x:c r="D138" s="395"/>
      <x:c r="E138" s="396"/>
      <x:c r="F138" s="396"/>
      <x:c r="G138" s="396"/>
      <x:c r="H138" s="508" t="str">
        <x:f>IF(B138="","",B138-WEEKDAY(B138-2,1)+1)</x:f>
      </x:c>
      <x:c r="I138" s="396"/>
      <x:c r="J138" s="396"/>
      <x:c r="K138" s="396"/>
      <x:c r="L138" s="396"/>
      <x:c r="M138" s="396"/>
    </x:row>
    <x:row r="139">
      <x:c r="A139" s="396"/>
      <x:c r="B139" s="414"/>
      <x:c r="C139" s="396"/>
      <x:c r="D139" s="395"/>
      <x:c r="E139" s="396"/>
      <x:c r="F139" s="396"/>
      <x:c r="G139" s="396"/>
      <x:c r="H139" s="508" t="str">
        <x:f>IF(B139="","",B139-WEEKDAY(B139-2,1)+1)</x:f>
      </x:c>
      <x:c r="I139" s="396"/>
      <x:c r="J139" s="396"/>
      <x:c r="K139" s="396"/>
      <x:c r="L139" s="396"/>
      <x:c r="M139" s="396"/>
    </x:row>
    <x:row r="140">
      <x:c r="A140" s="396"/>
      <x:c r="B140" s="414"/>
      <x:c r="C140" s="396"/>
      <x:c r="D140" s="395"/>
      <x:c r="E140" s="396"/>
      <x:c r="F140" s="396"/>
      <x:c r="G140" s="396"/>
      <x:c r="H140" s="508" t="str">
        <x:f>IF(B140="","",B140-WEEKDAY(B140-2,1)+1)</x:f>
      </x:c>
      <x:c r="I140" s="396"/>
      <x:c r="J140" s="396"/>
      <x:c r="K140" s="396"/>
      <x:c r="L140" s="396"/>
      <x:c r="M140" s="396"/>
    </x:row>
    <x:row r="141">
      <x:c r="A141" s="396"/>
      <x:c r="B141" s="414"/>
      <x:c r="C141" s="396"/>
      <x:c r="D141" s="395"/>
      <x:c r="E141" s="396"/>
      <x:c r="F141" s="396"/>
      <x:c r="G141" s="396"/>
      <x:c r="H141" s="508" t="str">
        <x:f>IF(B141="","",B141-WEEKDAY(B141-2,1)+1)</x:f>
      </x:c>
      <x:c r="I141" s="396"/>
      <x:c r="J141" s="396"/>
      <x:c r="K141" s="396"/>
      <x:c r="L141" s="396"/>
      <x:c r="M141" s="396"/>
    </x:row>
    <x:row r="142">
      <x:c r="A142" s="396"/>
      <x:c r="B142" s="414"/>
      <x:c r="C142" s="396"/>
      <x:c r="D142" s="395"/>
      <x:c r="E142" s="396"/>
      <x:c r="F142" s="396"/>
      <x:c r="G142" s="396"/>
      <x:c r="H142" s="508" t="str">
        <x:f>IF(B142="","",B142-WEEKDAY(B142-2,1)+1)</x:f>
      </x:c>
      <x:c r="I142" s="396"/>
      <x:c r="J142" s="396"/>
      <x:c r="K142" s="396"/>
      <x:c r="L142" s="396"/>
      <x:c r="M142" s="396"/>
    </x:row>
    <x:row r="143">
      <x:c r="A143" s="396"/>
      <x:c r="B143" s="414"/>
      <x:c r="C143" s="396"/>
      <x:c r="D143" s="395"/>
      <x:c r="E143" s="396"/>
      <x:c r="F143" s="396"/>
      <x:c r="G143" s="396"/>
      <x:c r="H143" s="508" t="str">
        <x:f>IF(B143="","",B143-WEEKDAY(B143-2,1)+1)</x:f>
      </x:c>
      <x:c r="I143" s="396"/>
      <x:c r="J143" s="396"/>
      <x:c r="K143" s="396"/>
      <x:c r="L143" s="396"/>
      <x:c r="M143" s="396"/>
    </x:row>
    <x:row r="144">
      <x:c r="A144" s="396"/>
      <x:c r="B144" s="414"/>
      <x:c r="C144" s="396"/>
      <x:c r="D144" s="395"/>
      <x:c r="E144" s="396"/>
      <x:c r="F144" s="396"/>
      <x:c r="G144" s="396"/>
      <x:c r="H144" s="508" t="str">
        <x:f>IF(B144="","",B144-WEEKDAY(B144-2,1)+1)</x:f>
      </x:c>
      <x:c r="I144" s="396"/>
      <x:c r="J144" s="396"/>
      <x:c r="K144" s="396"/>
      <x:c r="L144" s="396"/>
      <x:c r="M144" s="396"/>
    </x:row>
    <x:row r="145">
      <x:c r="A145" s="396"/>
      <x:c r="B145" s="414"/>
      <x:c r="C145" s="396"/>
      <x:c r="D145" s="395"/>
      <x:c r="E145" s="396"/>
      <x:c r="F145" s="396"/>
      <x:c r="G145" s="396"/>
      <x:c r="H145" s="508" t="str">
        <x:f>IF(B145="","",B145-WEEKDAY(B145-2,1)+1)</x:f>
      </x:c>
      <x:c r="I145" s="396"/>
      <x:c r="J145" s="396"/>
      <x:c r="K145" s="396"/>
      <x:c r="L145" s="396"/>
      <x:c r="M145" s="396"/>
    </x:row>
    <x:row r="146">
      <x:c r="A146" s="396"/>
      <x:c r="B146" s="414"/>
      <x:c r="C146" s="396"/>
      <x:c r="D146" s="395"/>
      <x:c r="E146" s="396"/>
      <x:c r="F146" s="396"/>
      <x:c r="G146" s="396"/>
      <x:c r="H146" s="508" t="str">
        <x:f>IF(B146="","",B146-WEEKDAY(B146-2,1)+1)</x:f>
      </x:c>
      <x:c r="I146" s="396"/>
      <x:c r="J146" s="396"/>
      <x:c r="K146" s="396"/>
      <x:c r="L146" s="396"/>
      <x:c r="M146" s="396"/>
    </x:row>
    <x:row r="147">
      <x:c r="A147" s="396"/>
      <x:c r="B147" s="414"/>
      <x:c r="C147" s="396"/>
      <x:c r="D147" s="395"/>
      <x:c r="E147" s="396"/>
      <x:c r="F147" s="396"/>
      <x:c r="G147" s="396"/>
      <x:c r="H147" s="508" t="str">
        <x:f>IF(B147="","",B147-WEEKDAY(B147-2,1)+1)</x:f>
      </x:c>
      <x:c r="I147" s="396"/>
      <x:c r="J147" s="396"/>
      <x:c r="K147" s="396"/>
      <x:c r="L147" s="396"/>
      <x:c r="M147" s="396"/>
    </x:row>
    <x:row r="148">
      <x:c r="A148" s="396"/>
      <x:c r="B148" s="414"/>
      <x:c r="C148" s="396"/>
      <x:c r="D148" s="395"/>
      <x:c r="E148" s="396"/>
      <x:c r="F148" s="396"/>
      <x:c r="G148" s="396"/>
      <x:c r="H148" s="508" t="str">
        <x:f>IF(B148="","",B148-WEEKDAY(B148-2,1)+1)</x:f>
      </x:c>
      <x:c r="I148" s="396"/>
      <x:c r="J148" s="396"/>
      <x:c r="K148" s="396"/>
      <x:c r="L148" s="396"/>
      <x:c r="M148" s="396"/>
    </x:row>
    <x:row r="149">
      <x:c r="A149" s="396"/>
      <x:c r="B149" s="414"/>
      <x:c r="C149" s="396"/>
      <x:c r="D149" s="395"/>
      <x:c r="E149" s="396"/>
      <x:c r="F149" s="396"/>
      <x:c r="G149" s="396"/>
      <x:c r="H149" s="508" t="str">
        <x:f>IF(B149="","",B149-WEEKDAY(B149-2,1)+1)</x:f>
      </x:c>
      <x:c r="I149" s="396"/>
      <x:c r="J149" s="396"/>
      <x:c r="K149" s="396"/>
      <x:c r="L149" s="396"/>
      <x:c r="M149" s="396"/>
    </x:row>
    <x:row r="150">
      <x:c r="A150" s="396"/>
      <x:c r="B150" s="414"/>
      <x:c r="C150" s="396"/>
      <x:c r="D150" s="395"/>
      <x:c r="E150" s="396"/>
      <x:c r="F150" s="396"/>
      <x:c r="G150" s="396"/>
      <x:c r="H150" s="508" t="str">
        <x:f>IF(B150="","",B150-WEEKDAY(B150-2,1)+1)</x:f>
      </x:c>
      <x:c r="I150" s="396"/>
      <x:c r="J150" s="396"/>
      <x:c r="K150" s="396"/>
      <x:c r="L150" s="396"/>
      <x:c r="M150" s="396"/>
    </x:row>
    <x:row r="151">
      <x:c r="A151" s="396"/>
      <x:c r="B151" s="414"/>
      <x:c r="C151" s="396"/>
      <x:c r="D151" s="395"/>
      <x:c r="E151" s="396"/>
      <x:c r="F151" s="396"/>
      <x:c r="G151" s="396"/>
      <x:c r="H151" s="508" t="str">
        <x:f>IF(B151="","",B151-WEEKDAY(B151-2,1)+1)</x:f>
      </x:c>
      <x:c r="I151" s="396"/>
      <x:c r="J151" s="396"/>
      <x:c r="K151" s="396"/>
      <x:c r="L151" s="396"/>
      <x:c r="M151" s="396"/>
    </x:row>
    <x:row r="152">
      <x:c r="A152" s="396"/>
      <x:c r="B152" s="414"/>
      <x:c r="C152" s="396"/>
      <x:c r="D152" s="395"/>
      <x:c r="E152" s="396"/>
      <x:c r="F152" s="396"/>
      <x:c r="G152" s="396"/>
      <x:c r="H152" s="508" t="str">
        <x:f>IF(B152="","",B152-WEEKDAY(B152-2,1)+1)</x:f>
      </x:c>
      <x:c r="I152" s="396"/>
      <x:c r="J152" s="396"/>
      <x:c r="K152" s="396"/>
      <x:c r="L152" s="396"/>
      <x:c r="M152" s="396"/>
    </x:row>
    <x:row r="153">
      <x:c r="A153" s="396"/>
      <x:c r="B153" s="414"/>
      <x:c r="C153" s="396"/>
      <x:c r="D153" s="395"/>
      <x:c r="E153" s="396"/>
      <x:c r="F153" s="396"/>
      <x:c r="G153" s="396"/>
      <x:c r="H153" s="508" t="str">
        <x:f>IF(B153="","",B153-WEEKDAY(B153-2,1)+1)</x:f>
      </x:c>
      <x:c r="I153" s="396"/>
      <x:c r="J153" s="396"/>
      <x:c r="K153" s="396"/>
      <x:c r="L153" s="396"/>
      <x:c r="M153" s="396"/>
    </x:row>
    <x:row r="154">
      <x:c r="A154" s="396"/>
      <x:c r="B154" s="414"/>
      <x:c r="C154" s="396"/>
      <x:c r="D154" s="395"/>
      <x:c r="E154" s="396"/>
      <x:c r="F154" s="396"/>
      <x:c r="G154" s="396"/>
      <x:c r="H154" s="508" t="str">
        <x:f>IF(B154="","",B154-WEEKDAY(B154-2,1)+1)</x:f>
      </x:c>
      <x:c r="I154" s="396"/>
      <x:c r="J154" s="396"/>
      <x:c r="K154" s="396"/>
      <x:c r="L154" s="396"/>
      <x:c r="M154" s="396"/>
    </x:row>
    <x:row r="155">
      <x:c r="A155" s="396"/>
      <x:c r="B155" s="414"/>
      <x:c r="C155" s="396"/>
      <x:c r="D155" s="395"/>
      <x:c r="E155" s="396"/>
      <x:c r="F155" s="396"/>
      <x:c r="G155" s="396"/>
      <x:c r="H155" s="508" t="str">
        <x:f>IF(B155="","",B155-WEEKDAY(B155-2,1)+1)</x:f>
      </x:c>
      <x:c r="I155" s="396"/>
      <x:c r="J155" s="396"/>
      <x:c r="K155" s="396"/>
      <x:c r="L155" s="396"/>
      <x:c r="M155" s="396"/>
    </x:row>
    <x:row r="156">
      <x:c r="A156" s="396"/>
      <x:c r="B156" s="414"/>
      <x:c r="C156" s="396"/>
      <x:c r="D156" s="395"/>
      <x:c r="E156" s="396"/>
      <x:c r="F156" s="396"/>
      <x:c r="G156" s="396"/>
      <x:c r="H156" s="508" t="str">
        <x:f>IF(B156="","",B156-WEEKDAY(B156-2,1)+1)</x:f>
      </x:c>
      <x:c r="I156" s="396"/>
      <x:c r="J156" s="396"/>
      <x:c r="K156" s="396"/>
      <x:c r="L156" s="396"/>
      <x:c r="M156" s="396"/>
    </x:row>
    <x:row r="157">
      <x:c r="A157" s="396"/>
      <x:c r="B157" s="414"/>
      <x:c r="C157" s="396"/>
      <x:c r="D157" s="395"/>
      <x:c r="E157" s="396"/>
      <x:c r="F157" s="396"/>
      <x:c r="G157" s="396"/>
      <x:c r="H157" s="508" t="str">
        <x:f>IF(B157="","",B157-WEEKDAY(B157-2,1)+1)</x:f>
      </x:c>
      <x:c r="I157" s="396"/>
      <x:c r="J157" s="396"/>
      <x:c r="K157" s="396"/>
      <x:c r="L157" s="396"/>
      <x:c r="M157" s="396"/>
    </x:row>
    <x:row r="158">
      <x:c r="A158" s="396"/>
      <x:c r="B158" s="414"/>
      <x:c r="C158" s="396"/>
      <x:c r="D158" s="395"/>
      <x:c r="E158" s="396"/>
      <x:c r="F158" s="396"/>
      <x:c r="G158" s="396"/>
      <x:c r="H158" s="508" t="str">
        <x:f>IF(B158="","",B158-WEEKDAY(B158-2,1)+1)</x:f>
      </x:c>
      <x:c r="I158" s="396"/>
      <x:c r="J158" s="396"/>
      <x:c r="K158" s="396"/>
      <x:c r="L158" s="396"/>
      <x:c r="M158" s="396"/>
    </x:row>
    <x:row r="159">
      <x:c r="A159" s="396"/>
      <x:c r="B159" s="414"/>
      <x:c r="C159" s="396"/>
      <x:c r="D159" s="395"/>
      <x:c r="E159" s="396"/>
      <x:c r="F159" s="396"/>
      <x:c r="G159" s="396"/>
      <x:c r="H159" s="508" t="str">
        <x:f>IF(B159="","",B159-WEEKDAY(B159-2,1)+1)</x:f>
      </x:c>
      <x:c r="I159" s="396"/>
      <x:c r="J159" s="396"/>
      <x:c r="K159" s="396"/>
      <x:c r="L159" s="396"/>
      <x:c r="M159" s="396"/>
    </x:row>
    <x:row r="160">
      <x:c r="A160" s="396"/>
      <x:c r="B160" s="414"/>
      <x:c r="C160" s="396"/>
      <x:c r="D160" s="395"/>
      <x:c r="E160" s="396"/>
      <x:c r="F160" s="396"/>
      <x:c r="G160" s="396"/>
      <x:c r="H160" s="508" t="str">
        <x:f>IF(B160="","",B160-WEEKDAY(B160-2,1)+1)</x:f>
      </x:c>
      <x:c r="I160" s="396"/>
      <x:c r="J160" s="396"/>
      <x:c r="K160" s="396"/>
      <x:c r="L160" s="396"/>
      <x:c r="M160" s="396"/>
    </x:row>
    <x:row r="161">
      <x:c r="A161" s="396"/>
      <x:c r="B161" s="414"/>
      <x:c r="C161" s="396"/>
      <x:c r="D161" s="395"/>
      <x:c r="E161" s="396"/>
      <x:c r="F161" s="396"/>
      <x:c r="G161" s="396"/>
      <x:c r="H161" s="508" t="str">
        <x:f>IF(B161="","",B161-WEEKDAY(B161-2,1)+1)</x:f>
      </x:c>
      <x:c r="I161" s="396"/>
      <x:c r="J161" s="396"/>
      <x:c r="K161" s="396"/>
      <x:c r="L161" s="396"/>
      <x:c r="M161" s="396"/>
    </x:row>
    <x:row r="162">
      <x:c r="A162" s="396"/>
      <x:c r="B162" s="414"/>
      <x:c r="C162" s="396"/>
      <x:c r="D162" s="395"/>
      <x:c r="E162" s="396"/>
      <x:c r="F162" s="396"/>
      <x:c r="G162" s="396"/>
      <x:c r="H162" s="508" t="str">
        <x:f>IF(B162="","",B162-WEEKDAY(B162-2,1)+1)</x:f>
      </x:c>
      <x:c r="I162" s="396"/>
      <x:c r="J162" s="396"/>
      <x:c r="K162" s="396"/>
      <x:c r="L162" s="396"/>
      <x:c r="M162" s="396"/>
    </x:row>
    <x:row r="163">
      <x:c r="A163" s="396"/>
      <x:c r="B163" s="414"/>
      <x:c r="C163" s="396"/>
      <x:c r="D163" s="395"/>
      <x:c r="E163" s="396"/>
      <x:c r="F163" s="396"/>
      <x:c r="G163" s="396"/>
      <x:c r="H163" s="508" t="str">
        <x:f>IF(B163="","",B163-WEEKDAY(B163-2,1)+1)</x:f>
      </x:c>
      <x:c r="I163" s="396"/>
      <x:c r="J163" s="396"/>
      <x:c r="K163" s="396"/>
      <x:c r="L163" s="396"/>
      <x:c r="M163" s="396"/>
    </x:row>
    <x:row r="164">
      <x:c r="A164" s="396"/>
      <x:c r="B164" s="414"/>
      <x:c r="C164" s="396"/>
      <x:c r="D164" s="395"/>
      <x:c r="E164" s="396"/>
      <x:c r="F164" s="396"/>
      <x:c r="G164" s="396"/>
      <x:c r="H164" s="508" t="str">
        <x:f>IF(B164="","",B164-WEEKDAY(B164-2,1)+1)</x:f>
      </x:c>
      <x:c r="I164" s="396"/>
      <x:c r="J164" s="396"/>
      <x:c r="K164" s="396"/>
      <x:c r="L164" s="396"/>
      <x:c r="M164" s="396"/>
    </x:row>
    <x:row r="165">
      <x:c r="A165" s="396"/>
      <x:c r="B165" s="414"/>
      <x:c r="C165" s="396"/>
      <x:c r="D165" s="395"/>
      <x:c r="E165" s="396"/>
      <x:c r="F165" s="396"/>
      <x:c r="G165" s="396"/>
      <x:c r="H165" s="508" t="str">
        <x:f>IF(B165="","",B165-WEEKDAY(B165-2,1)+1)</x:f>
      </x:c>
      <x:c r="I165" s="396"/>
      <x:c r="J165" s="396"/>
      <x:c r="K165" s="396"/>
      <x:c r="L165" s="396"/>
      <x:c r="M165" s="396"/>
    </x:row>
    <x:row r="166">
      <x:c r="A166" s="396"/>
      <x:c r="B166" s="414"/>
      <x:c r="C166" s="396"/>
      <x:c r="D166" s="395"/>
      <x:c r="E166" s="396"/>
      <x:c r="F166" s="396"/>
      <x:c r="G166" s="396"/>
      <x:c r="H166" s="508" t="str">
        <x:f>IF(B166="","",B166-WEEKDAY(B166-2,1)+1)</x:f>
      </x:c>
      <x:c r="I166" s="396"/>
      <x:c r="J166" s="396"/>
      <x:c r="K166" s="396"/>
      <x:c r="L166" s="396"/>
      <x:c r="M166" s="396"/>
    </x:row>
    <x:row r="167">
      <x:c r="A167" s="396"/>
      <x:c r="B167" s="414"/>
      <x:c r="C167" s="396"/>
      <x:c r="D167" s="395"/>
      <x:c r="E167" s="396"/>
      <x:c r="F167" s="396"/>
      <x:c r="G167" s="396"/>
      <x:c r="H167" s="508" t="str">
        <x:f>IF(B167="","",B167-WEEKDAY(B167-2,1)+1)</x:f>
      </x:c>
      <x:c r="I167" s="396"/>
      <x:c r="J167" s="396"/>
      <x:c r="K167" s="396"/>
      <x:c r="L167" s="396"/>
      <x:c r="M167" s="396"/>
    </x:row>
    <x:row r="168">
      <x:c r="A168" s="396"/>
      <x:c r="B168" s="414"/>
      <x:c r="C168" s="396"/>
      <x:c r="D168" s="395"/>
      <x:c r="E168" s="396"/>
      <x:c r="F168" s="396"/>
      <x:c r="G168" s="396"/>
      <x:c r="H168" s="508" t="str">
        <x:f>IF(B168="","",B168-WEEKDAY(B168-2,1)+1)</x:f>
      </x:c>
      <x:c r="I168" s="396"/>
      <x:c r="J168" s="396"/>
      <x:c r="K168" s="396"/>
      <x:c r="L168" s="396"/>
      <x:c r="M168" s="396"/>
    </x:row>
    <x:row r="169">
      <x:c r="A169" s="396"/>
      <x:c r="B169" s="414"/>
      <x:c r="C169" s="396"/>
      <x:c r="D169" s="395"/>
      <x:c r="E169" s="396"/>
      <x:c r="F169" s="396"/>
      <x:c r="G169" s="396"/>
      <x:c r="H169" s="508" t="str">
        <x:f>IF(B169="","",B169-WEEKDAY(B169-2,1)+1)</x:f>
      </x:c>
      <x:c r="I169" s="396"/>
      <x:c r="J169" s="396"/>
      <x:c r="K169" s="396"/>
      <x:c r="L169" s="396"/>
      <x:c r="M169" s="396"/>
    </x:row>
    <x:row r="170">
      <x:c r="A170" s="396"/>
      <x:c r="B170" s="414"/>
      <x:c r="C170" s="396"/>
      <x:c r="D170" s="395"/>
      <x:c r="E170" s="396"/>
      <x:c r="F170" s="396"/>
      <x:c r="G170" s="396"/>
      <x:c r="H170" s="508" t="str">
        <x:f>IF(B170="","",B170-WEEKDAY(B170-2,1)+1)</x:f>
      </x:c>
      <x:c r="I170" s="396"/>
      <x:c r="J170" s="396"/>
      <x:c r="K170" s="396"/>
      <x:c r="L170" s="396"/>
      <x:c r="M170" s="396"/>
    </x:row>
    <x:row r="171">
      <x:c r="A171" s="396"/>
      <x:c r="B171" s="414"/>
      <x:c r="C171" s="396"/>
      <x:c r="D171" s="395"/>
      <x:c r="E171" s="396"/>
      <x:c r="F171" s="396"/>
      <x:c r="G171" s="396"/>
      <x:c r="H171" s="508" t="str">
        <x:f>IF(B171="","",B171-WEEKDAY(B171-2,1)+1)</x:f>
      </x:c>
      <x:c r="I171" s="396"/>
      <x:c r="J171" s="396"/>
      <x:c r="K171" s="396"/>
      <x:c r="L171" s="396"/>
      <x:c r="M171" s="396"/>
    </x:row>
    <x:row r="172">
      <x:c r="A172" s="396"/>
      <x:c r="B172" s="414"/>
      <x:c r="C172" s="396"/>
      <x:c r="D172" s="395"/>
      <x:c r="E172" s="396"/>
      <x:c r="F172" s="396"/>
      <x:c r="G172" s="396"/>
      <x:c r="H172" s="508" t="str">
        <x:f>IF(B172="","",B172-WEEKDAY(B172-2,1)+1)</x:f>
      </x:c>
      <x:c r="I172" s="396"/>
      <x:c r="J172" s="396"/>
      <x:c r="K172" s="396"/>
      <x:c r="L172" s="396"/>
      <x:c r="M172" s="396"/>
    </x:row>
    <x:row r="173">
      <x:c r="A173" s="396"/>
      <x:c r="B173" s="414"/>
      <x:c r="C173" s="396"/>
      <x:c r="D173" s="395"/>
      <x:c r="E173" s="396"/>
      <x:c r="F173" s="396"/>
      <x:c r="G173" s="396"/>
      <x:c r="H173" s="508" t="str">
        <x:f>IF(B173="","",B173-WEEKDAY(B173-2,1)+1)</x:f>
      </x:c>
      <x:c r="I173" s="396"/>
      <x:c r="J173" s="396"/>
      <x:c r="K173" s="396"/>
      <x:c r="L173" s="396"/>
      <x:c r="M173" s="396"/>
    </x:row>
    <x:row r="174">
      <x:c r="A174" s="396"/>
      <x:c r="B174" s="414"/>
      <x:c r="C174" s="396"/>
      <x:c r="D174" s="395"/>
      <x:c r="E174" s="396"/>
      <x:c r="F174" s="396"/>
      <x:c r="G174" s="396"/>
      <x:c r="H174" s="508" t="str">
        <x:f>IF(B174="","",B174-WEEKDAY(B174-2,1)+1)</x:f>
      </x:c>
      <x:c r="I174" s="396"/>
      <x:c r="J174" s="396"/>
      <x:c r="K174" s="396"/>
      <x:c r="L174" s="396"/>
      <x:c r="M174" s="396"/>
    </x:row>
    <x:row r="175">
      <x:c r="A175" s="396"/>
      <x:c r="B175" s="414"/>
      <x:c r="C175" s="396"/>
      <x:c r="D175" s="395"/>
      <x:c r="E175" s="396"/>
      <x:c r="F175" s="396"/>
      <x:c r="G175" s="396"/>
      <x:c r="H175" s="508" t="str">
        <x:f>IF(B175="","",B175-WEEKDAY(B175-2,1)+1)</x:f>
      </x:c>
      <x:c r="I175" s="396"/>
      <x:c r="J175" s="396"/>
      <x:c r="K175" s="396"/>
      <x:c r="L175" s="396"/>
      <x:c r="M175" s="396"/>
    </x:row>
    <x:row r="176">
      <x:c r="A176" s="396"/>
      <x:c r="B176" s="414"/>
      <x:c r="C176" s="396"/>
      <x:c r="D176" s="395"/>
      <x:c r="E176" s="396"/>
      <x:c r="F176" s="396"/>
      <x:c r="G176" s="396"/>
      <x:c r="H176" s="508" t="str">
        <x:f>IF(B176="","",B176-WEEKDAY(B176-2,1)+1)</x:f>
      </x:c>
      <x:c r="I176" s="396"/>
      <x:c r="J176" s="396"/>
      <x:c r="K176" s="396"/>
      <x:c r="L176" s="396"/>
      <x:c r="M176" s="396"/>
    </x:row>
    <x:row r="177">
      <x:c r="A177" s="396"/>
      <x:c r="B177" s="414"/>
      <x:c r="C177" s="396"/>
      <x:c r="D177" s="395"/>
      <x:c r="E177" s="396"/>
      <x:c r="F177" s="396"/>
      <x:c r="G177" s="396"/>
      <x:c r="H177" s="508" t="str">
        <x:f>IF(B177="","",B177-WEEKDAY(B177-2,1)+1)</x:f>
      </x:c>
      <x:c r="I177" s="396"/>
      <x:c r="J177" s="396"/>
      <x:c r="K177" s="396"/>
      <x:c r="L177" s="396"/>
      <x:c r="M177" s="396"/>
    </x:row>
    <x:row r="178">
      <x:c r="A178" s="396"/>
      <x:c r="B178" s="414"/>
      <x:c r="C178" s="396"/>
      <x:c r="D178" s="395"/>
      <x:c r="E178" s="396"/>
      <x:c r="F178" s="396"/>
      <x:c r="G178" s="396"/>
      <x:c r="H178" s="508" t="str">
        <x:f>IF(B178="","",B178-WEEKDAY(B178-2,1)+1)</x:f>
      </x:c>
      <x:c r="I178" s="396"/>
      <x:c r="J178" s="396"/>
      <x:c r="K178" s="396"/>
      <x:c r="L178" s="396"/>
      <x:c r="M178" s="396"/>
    </x:row>
    <x:row r="179">
      <x:c r="A179" s="396"/>
      <x:c r="B179" s="414"/>
      <x:c r="C179" s="396"/>
      <x:c r="D179" s="395"/>
      <x:c r="E179" s="396"/>
      <x:c r="F179" s="396"/>
      <x:c r="G179" s="396"/>
      <x:c r="H179" s="508" t="str">
        <x:f>IF(B179="","",B179-WEEKDAY(B179-2,1)+1)</x:f>
      </x:c>
      <x:c r="I179" s="396"/>
      <x:c r="J179" s="396"/>
      <x:c r="K179" s="396"/>
      <x:c r="L179" s="396"/>
      <x:c r="M179" s="396"/>
    </x:row>
    <x:row r="180">
      <x:c r="A180" s="396"/>
      <x:c r="B180" s="414"/>
      <x:c r="C180" s="396"/>
      <x:c r="D180" s="395"/>
      <x:c r="E180" s="396"/>
      <x:c r="F180" s="396"/>
      <x:c r="G180" s="396"/>
      <x:c r="H180" s="508" t="str">
        <x:f>IF(B180="","",B180-WEEKDAY(B180-2,1)+1)</x:f>
      </x:c>
      <x:c r="I180" s="396"/>
      <x:c r="J180" s="396"/>
      <x:c r="K180" s="396"/>
      <x:c r="L180" s="396"/>
      <x:c r="M180" s="396"/>
    </x:row>
    <x:row r="181">
      <x:c r="A181" s="396"/>
      <x:c r="B181" s="414"/>
      <x:c r="C181" s="396"/>
      <x:c r="D181" s="395"/>
      <x:c r="E181" s="396"/>
      <x:c r="F181" s="396"/>
      <x:c r="G181" s="396"/>
      <x:c r="H181" s="508" t="str">
        <x:f>IF(B181="","",B181-WEEKDAY(B181-2,1)+1)</x:f>
      </x:c>
      <x:c r="I181" s="396"/>
      <x:c r="J181" s="396"/>
      <x:c r="K181" s="396"/>
      <x:c r="L181" s="396"/>
      <x:c r="M181" s="396"/>
    </x:row>
    <x:row r="182">
      <x:c r="A182" s="396"/>
      <x:c r="B182" s="414"/>
      <x:c r="C182" s="396"/>
      <x:c r="D182" s="395"/>
      <x:c r="E182" s="396"/>
      <x:c r="F182" s="396"/>
      <x:c r="G182" s="396"/>
      <x:c r="H182" s="508" t="str">
        <x:f>IF(B182="","",B182-WEEKDAY(B182-2,1)+1)</x:f>
      </x:c>
      <x:c r="I182" s="396"/>
      <x:c r="J182" s="396"/>
      <x:c r="K182" s="396"/>
      <x:c r="L182" s="396"/>
      <x:c r="M182" s="396"/>
    </x:row>
    <x:row r="183">
      <x:c r="A183" s="396"/>
      <x:c r="B183" s="414"/>
      <x:c r="C183" s="396"/>
      <x:c r="D183" s="395"/>
      <x:c r="E183" s="396"/>
      <x:c r="F183" s="396"/>
      <x:c r="G183" s="396"/>
      <x:c r="H183" s="508" t="str">
        <x:f>IF(B183="","",B183-WEEKDAY(B183-2,1)+1)</x:f>
      </x:c>
      <x:c r="I183" s="396"/>
      <x:c r="J183" s="396"/>
      <x:c r="K183" s="396"/>
      <x:c r="L183" s="396"/>
      <x:c r="M183" s="396"/>
    </x:row>
    <x:row r="184">
      <x:c r="A184" s="396"/>
      <x:c r="B184" s="414"/>
      <x:c r="C184" s="396"/>
      <x:c r="D184" s="395"/>
      <x:c r="E184" s="396"/>
      <x:c r="F184" s="396"/>
      <x:c r="G184" s="396"/>
      <x:c r="H184" s="508" t="str">
        <x:f>IF(B184="","",B184-WEEKDAY(B184-2,1)+1)</x:f>
      </x:c>
      <x:c r="I184" s="396"/>
      <x:c r="J184" s="396"/>
      <x:c r="K184" s="396"/>
      <x:c r="L184" s="396"/>
      <x:c r="M184" s="396"/>
    </x:row>
    <x:row r="185">
      <x:c r="A185" s="396"/>
      <x:c r="B185" s="414"/>
      <x:c r="C185" s="396"/>
      <x:c r="D185" s="395"/>
      <x:c r="E185" s="396"/>
      <x:c r="F185" s="396"/>
      <x:c r="G185" s="396"/>
      <x:c r="H185" s="508" t="str">
        <x:f>IF(B185="","",B185-WEEKDAY(B185-2,1)+1)</x:f>
      </x:c>
      <x:c r="I185" s="396"/>
      <x:c r="J185" s="396"/>
      <x:c r="K185" s="396"/>
      <x:c r="L185" s="396"/>
      <x:c r="M185" s="396"/>
    </x:row>
    <x:row r="186">
      <x:c r="A186" s="396"/>
      <x:c r="B186" s="414"/>
      <x:c r="C186" s="396"/>
      <x:c r="D186" s="395"/>
      <x:c r="E186" s="396"/>
      <x:c r="F186" s="396"/>
      <x:c r="G186" s="396"/>
      <x:c r="H186" s="508" t="str">
        <x:f>IF(B186="","",B186-WEEKDAY(B186-2,1)+1)</x:f>
      </x:c>
      <x:c r="I186" s="396"/>
      <x:c r="J186" s="396"/>
      <x:c r="K186" s="396"/>
      <x:c r="L186" s="396"/>
      <x:c r="M186" s="396"/>
    </x:row>
    <x:row r="187">
      <x:c r="A187" s="396"/>
      <x:c r="B187" s="414"/>
      <x:c r="C187" s="396"/>
      <x:c r="D187" s="395"/>
      <x:c r="E187" s="396"/>
      <x:c r="F187" s="396"/>
      <x:c r="G187" s="396"/>
      <x:c r="H187" s="508" t="str">
        <x:f>IF(B187="","",B187-WEEKDAY(B187-2,1)+1)</x:f>
      </x:c>
      <x:c r="I187" s="396"/>
      <x:c r="J187" s="396"/>
      <x:c r="K187" s="396"/>
      <x:c r="L187" s="396"/>
      <x:c r="M187" s="396"/>
    </x:row>
    <x:row r="188">
      <x:c r="A188" s="396"/>
      <x:c r="B188" s="414"/>
      <x:c r="C188" s="396"/>
      <x:c r="D188" s="395"/>
      <x:c r="E188" s="396"/>
      <x:c r="F188" s="396"/>
      <x:c r="G188" s="396"/>
      <x:c r="H188" s="508" t="str">
        <x:f>IF(B188="","",B188-WEEKDAY(B188-2,1)+1)</x:f>
      </x:c>
      <x:c r="I188" s="396"/>
      <x:c r="J188" s="396"/>
      <x:c r="K188" s="396"/>
      <x:c r="L188" s="396"/>
      <x:c r="M188" s="396"/>
    </x:row>
    <x:row r="189">
      <x:c r="A189" s="396"/>
      <x:c r="B189" s="414"/>
      <x:c r="C189" s="396"/>
      <x:c r="D189" s="395"/>
      <x:c r="E189" s="396"/>
      <x:c r="F189" s="396"/>
      <x:c r="G189" s="396"/>
      <x:c r="H189" s="508" t="str">
        <x:f>IF(B189="","",B189-WEEKDAY(B189-2,1)+1)</x:f>
      </x:c>
      <x:c r="I189" s="396"/>
      <x:c r="J189" s="396"/>
      <x:c r="K189" s="396"/>
      <x:c r="L189" s="396"/>
      <x:c r="M189" s="396"/>
    </x:row>
    <x:row r="190">
      <x:c r="A190" s="396"/>
      <x:c r="B190" s="414"/>
      <x:c r="C190" s="396"/>
      <x:c r="D190" s="395"/>
      <x:c r="E190" s="396"/>
      <x:c r="F190" s="396"/>
      <x:c r="G190" s="396"/>
      <x:c r="H190" s="508" t="str">
        <x:f>IF(B190="","",B190-WEEKDAY(B190-2,1)+1)</x:f>
      </x:c>
      <x:c r="I190" s="396"/>
      <x:c r="J190" s="396"/>
      <x:c r="K190" s="396"/>
      <x:c r="L190" s="396"/>
      <x:c r="M190" s="396"/>
    </x:row>
    <x:row r="191">
      <x:c r="A191" s="396"/>
      <x:c r="B191" s="414"/>
      <x:c r="C191" s="396"/>
      <x:c r="D191" s="395"/>
      <x:c r="E191" s="396"/>
      <x:c r="F191" s="396"/>
      <x:c r="G191" s="396"/>
      <x:c r="H191" s="508" t="str">
        <x:f>IF(B191="","",B191-WEEKDAY(B191-2,1)+1)</x:f>
      </x:c>
      <x:c r="I191" s="396"/>
      <x:c r="J191" s="396"/>
      <x:c r="K191" s="396"/>
      <x:c r="L191" s="396"/>
      <x:c r="M191" s="396"/>
    </x:row>
    <x:row r="192">
      <x:c r="A192" s="396"/>
      <x:c r="B192" s="414"/>
      <x:c r="C192" s="396"/>
      <x:c r="D192" s="395"/>
      <x:c r="E192" s="396"/>
      <x:c r="F192" s="396"/>
      <x:c r="G192" s="396"/>
      <x:c r="H192" s="508" t="str">
        <x:f>IF(B192="","",B192-WEEKDAY(B192-2,1)+1)</x:f>
      </x:c>
      <x:c r="I192" s="396"/>
      <x:c r="J192" s="396"/>
      <x:c r="K192" s="396"/>
      <x:c r="L192" s="396"/>
      <x:c r="M192" s="396"/>
    </x:row>
    <x:row r="193">
      <x:c r="A193" s="396"/>
      <x:c r="B193" s="414"/>
      <x:c r="C193" s="396"/>
      <x:c r="D193" s="395"/>
      <x:c r="E193" s="396"/>
      <x:c r="F193" s="396"/>
      <x:c r="G193" s="396"/>
      <x:c r="H193" s="508" t="str">
        <x:f>IF(B193="","",B193-WEEKDAY(B193-2,1)+1)</x:f>
      </x:c>
      <x:c r="I193" s="396"/>
      <x:c r="J193" s="396"/>
      <x:c r="K193" s="396"/>
      <x:c r="L193" s="396"/>
      <x:c r="M193" s="396"/>
    </x:row>
    <x:row r="194">
      <x:c r="A194" s="396"/>
      <x:c r="B194" s="414"/>
      <x:c r="C194" s="396"/>
      <x:c r="D194" s="395"/>
      <x:c r="E194" s="396"/>
      <x:c r="F194" s="396"/>
      <x:c r="G194" s="396"/>
      <x:c r="H194" s="508" t="str">
        <x:f>IF(B194="","",B194-WEEKDAY(B194-2,1)+1)</x:f>
      </x:c>
      <x:c r="I194" s="396"/>
      <x:c r="J194" s="396"/>
      <x:c r="K194" s="396"/>
      <x:c r="L194" s="396"/>
      <x:c r="M194" s="396"/>
    </x:row>
    <x:row r="195">
      <x:c r="A195" s="396"/>
      <x:c r="B195" s="414"/>
      <x:c r="C195" s="396"/>
      <x:c r="D195" s="395"/>
      <x:c r="E195" s="396"/>
      <x:c r="F195" s="396"/>
      <x:c r="G195" s="396"/>
      <x:c r="H195" s="508" t="str">
        <x:f>IF(B195="","",B195-WEEKDAY(B195-2,1)+1)</x:f>
      </x:c>
      <x:c r="I195" s="396"/>
      <x:c r="J195" s="396"/>
      <x:c r="K195" s="396"/>
      <x:c r="L195" s="396"/>
      <x:c r="M195" s="396"/>
    </x:row>
    <x:row r="196">
      <x:c r="A196" s="396"/>
      <x:c r="B196" s="414"/>
      <x:c r="C196" s="396"/>
      <x:c r="D196" s="395"/>
      <x:c r="E196" s="396"/>
      <x:c r="F196" s="396"/>
      <x:c r="G196" s="396"/>
      <x:c r="H196" s="508" t="str">
        <x:f>IF(B196="","",B196-WEEKDAY(B196-2,1)+1)</x:f>
      </x:c>
      <x:c r="I196" s="396"/>
      <x:c r="J196" s="396"/>
      <x:c r="K196" s="396"/>
      <x:c r="L196" s="396"/>
      <x:c r="M196" s="396"/>
    </x:row>
    <x:row r="197">
      <x:c r="A197" s="396"/>
      <x:c r="B197" s="414"/>
      <x:c r="C197" s="396"/>
      <x:c r="D197" s="395"/>
      <x:c r="E197" s="396"/>
      <x:c r="F197" s="396"/>
      <x:c r="G197" s="396"/>
      <x:c r="H197" s="508" t="str">
        <x:f>IF(B197="","",B197-WEEKDAY(B197-2,1)+1)</x:f>
      </x:c>
      <x:c r="I197" s="396"/>
      <x:c r="J197" s="396"/>
      <x:c r="K197" s="396"/>
      <x:c r="L197" s="396"/>
      <x:c r="M197" s="396"/>
    </x:row>
    <x:row r="198">
      <x:c r="A198" s="396"/>
      <x:c r="B198" s="414"/>
      <x:c r="C198" s="396"/>
      <x:c r="D198" s="395"/>
      <x:c r="E198" s="396"/>
      <x:c r="F198" s="396"/>
      <x:c r="G198" s="396"/>
      <x:c r="H198" s="508" t="str">
        <x:f>IF(B198="","",B198-WEEKDAY(B198-2,1)+1)</x:f>
      </x:c>
      <x:c r="I198" s="396"/>
      <x:c r="J198" s="396"/>
      <x:c r="K198" s="396"/>
      <x:c r="L198" s="396"/>
      <x:c r="M198" s="396"/>
    </x:row>
    <x:row r="199">
      <x:c r="A199" s="396"/>
      <x:c r="B199" s="414"/>
      <x:c r="C199" s="396"/>
      <x:c r="D199" s="395"/>
      <x:c r="E199" s="396"/>
      <x:c r="F199" s="396"/>
      <x:c r="G199" s="396"/>
      <x:c r="H199" s="508" t="str">
        <x:f>IF(B199="","",B199-WEEKDAY(B199-2,1)+1)</x:f>
      </x:c>
      <x:c r="I199" s="396"/>
      <x:c r="J199" s="396"/>
      <x:c r="K199" s="396"/>
      <x:c r="L199" s="396"/>
      <x:c r="M199" s="396"/>
    </x:row>
    <x:row r="200">
      <x:c r="A200" s="396"/>
      <x:c r="B200" s="414"/>
      <x:c r="C200" s="396"/>
      <x:c r="D200" s="395"/>
      <x:c r="E200" s="396"/>
      <x:c r="F200" s="396"/>
      <x:c r="G200" s="396"/>
      <x:c r="H200" s="508" t="str">
        <x:f>IF(B200="","",B200-WEEKDAY(B200-2,1)+1)</x:f>
      </x:c>
      <x:c r="I200" s="396"/>
      <x:c r="J200" s="396"/>
      <x:c r="K200" s="396"/>
      <x:c r="L200" s="396"/>
      <x:c r="M200" s="396"/>
    </x:row>
    <x:row r="201">
      <x:c r="A201" s="396"/>
      <x:c r="B201" s="414"/>
      <x:c r="C201" s="396"/>
      <x:c r="D201" s="395"/>
      <x:c r="E201" s="396"/>
      <x:c r="F201" s="396"/>
      <x:c r="G201" s="396"/>
      <x:c r="H201" s="508" t="str">
        <x:f>IF(B201="","",B201-WEEKDAY(B201-2,1)+1)</x:f>
      </x:c>
      <x:c r="I201" s="396"/>
      <x:c r="J201" s="396"/>
      <x:c r="K201" s="396"/>
      <x:c r="L201" s="396"/>
      <x:c r="M201" s="396"/>
    </x:row>
    <x:row r="202">
      <x:c r="A202" s="396"/>
      <x:c r="B202" s="414"/>
      <x:c r="C202" s="396"/>
      <x:c r="D202" s="395"/>
      <x:c r="E202" s="396"/>
      <x:c r="F202" s="396"/>
      <x:c r="G202" s="396"/>
      <x:c r="H202" s="508" t="str">
        <x:f>IF(B202="","",B202-WEEKDAY(B202-2,1)+1)</x:f>
      </x:c>
      <x:c r="I202" s="396"/>
      <x:c r="J202" s="396"/>
      <x:c r="K202" s="396"/>
      <x:c r="L202" s="396"/>
      <x:c r="M202" s="396"/>
    </x:row>
    <x:row r="203">
      <x:c r="A203" s="396"/>
      <x:c r="B203" s="414"/>
      <x:c r="C203" s="396"/>
      <x:c r="D203" s="395"/>
      <x:c r="E203" s="396"/>
      <x:c r="F203" s="396"/>
      <x:c r="G203" s="396"/>
      <x:c r="H203" s="508" t="str">
        <x:f>IF(B203="","",B203-WEEKDAY(B203-2,1)+1)</x:f>
      </x:c>
      <x:c r="I203" s="396"/>
      <x:c r="J203" s="396"/>
      <x:c r="K203" s="396"/>
      <x:c r="L203" s="396"/>
      <x:c r="M203" s="396"/>
    </x:row>
    <x:row r="204">
      <x:c r="A204" s="396"/>
      <x:c r="B204" s="414"/>
      <x:c r="C204" s="396"/>
      <x:c r="D204" s="395"/>
      <x:c r="E204" s="396"/>
      <x:c r="F204" s="396"/>
      <x:c r="G204" s="396"/>
      <x:c r="H204" s="508" t="str">
        <x:f>IF(B204="","",B204-WEEKDAY(B204-2,1)+1)</x:f>
      </x:c>
      <x:c r="I204" s="396"/>
      <x:c r="J204" s="396"/>
      <x:c r="K204" s="396"/>
      <x:c r="L204" s="396"/>
      <x:c r="M204" s="396"/>
    </x:row>
    <x:row r="205">
      <x:c r="A205" s="396"/>
      <x:c r="B205" s="414"/>
      <x:c r="C205" s="396"/>
      <x:c r="D205" s="395"/>
      <x:c r="E205" s="396"/>
      <x:c r="F205" s="396"/>
      <x:c r="G205" s="396"/>
      <x:c r="H205" s="508" t="str">
        <x:f>IF(B205="","",B205-WEEKDAY(B205-2,1)+1)</x:f>
      </x:c>
      <x:c r="I205" s="396"/>
      <x:c r="J205" s="396"/>
      <x:c r="K205" s="396"/>
      <x:c r="L205" s="396"/>
      <x:c r="M205" s="396"/>
    </x:row>
    <x:row r="206">
      <x:c r="A206" s="396"/>
      <x:c r="B206" s="414"/>
      <x:c r="C206" s="396"/>
      <x:c r="D206" s="395"/>
      <x:c r="E206" s="396"/>
      <x:c r="F206" s="396"/>
      <x:c r="G206" s="396"/>
      <x:c r="H206" s="508" t="str">
        <x:f>IF(B206="","",B206-WEEKDAY(B206-2,1)+1)</x:f>
      </x:c>
      <x:c r="I206" s="396"/>
      <x:c r="J206" s="396"/>
      <x:c r="K206" s="396"/>
      <x:c r="L206" s="396"/>
      <x:c r="M206" s="396"/>
    </x:row>
    <x:row r="207">
      <x:c r="A207" s="396"/>
      <x:c r="B207" s="414"/>
      <x:c r="C207" s="396"/>
      <x:c r="D207" s="395"/>
      <x:c r="E207" s="396"/>
      <x:c r="F207" s="396"/>
      <x:c r="G207" s="396"/>
      <x:c r="H207" s="508" t="str">
        <x:f>IF(B207="","",B207-WEEKDAY(B207-2,1)+1)</x:f>
      </x:c>
      <x:c r="I207" s="396"/>
      <x:c r="J207" s="396"/>
      <x:c r="K207" s="396"/>
      <x:c r="L207" s="396"/>
      <x:c r="M207" s="396"/>
    </x:row>
    <x:row r="208">
      <x:c r="A208" s="396"/>
      <x:c r="B208" s="414"/>
      <x:c r="C208" s="396"/>
      <x:c r="D208" s="395"/>
      <x:c r="E208" s="396"/>
      <x:c r="F208" s="396"/>
      <x:c r="G208" s="396"/>
      <x:c r="H208" s="508" t="str">
        <x:f>IF(B208="","",B208-WEEKDAY(B208-2,1)+1)</x:f>
      </x:c>
      <x:c r="I208" s="396"/>
      <x:c r="J208" s="396"/>
      <x:c r="K208" s="396"/>
      <x:c r="L208" s="396"/>
      <x:c r="M208" s="396"/>
    </x:row>
    <x:row r="209">
      <x:c r="A209" s="396"/>
      <x:c r="B209" s="414"/>
      <x:c r="C209" s="396"/>
      <x:c r="D209" s="395"/>
      <x:c r="E209" s="396"/>
      <x:c r="F209" s="396"/>
      <x:c r="G209" s="396"/>
      <x:c r="H209" s="508" t="str">
        <x:f>IF(B209="","",B209-WEEKDAY(B209-2,1)+1)</x:f>
      </x:c>
      <x:c r="I209" s="396"/>
      <x:c r="J209" s="396"/>
      <x:c r="K209" s="396"/>
      <x:c r="L209" s="396"/>
      <x:c r="M209" s="396"/>
    </x:row>
    <x:row r="210">
      <x:c r="A210" s="396"/>
      <x:c r="B210" s="414"/>
      <x:c r="C210" s="396"/>
      <x:c r="D210" s="395"/>
      <x:c r="E210" s="396"/>
      <x:c r="F210" s="396"/>
      <x:c r="G210" s="396"/>
      <x:c r="H210" s="508" t="str">
        <x:f>IF(B210="","",B210-WEEKDAY(B210-2,1)+1)</x:f>
      </x:c>
      <x:c r="I210" s="396"/>
      <x:c r="J210" s="396"/>
      <x:c r="K210" s="396"/>
      <x:c r="L210" s="396"/>
      <x:c r="M210" s="396"/>
    </x:row>
    <x:row r="211">
      <x:c r="A211" s="396"/>
      <x:c r="B211" s="414"/>
      <x:c r="C211" s="396"/>
      <x:c r="D211" s="395"/>
      <x:c r="E211" s="396"/>
      <x:c r="F211" s="396"/>
      <x:c r="G211" s="396"/>
      <x:c r="H211" s="508" t="str">
        <x:f>IF(B211="","",B211-WEEKDAY(B211-2,1)+1)</x:f>
      </x:c>
      <x:c r="I211" s="396"/>
      <x:c r="J211" s="396"/>
      <x:c r="K211" s="396"/>
      <x:c r="L211" s="396"/>
      <x:c r="M211" s="396"/>
    </x:row>
    <x:row r="212">
      <x:c r="A212" s="396"/>
      <x:c r="B212" s="414"/>
      <x:c r="C212" s="396"/>
      <x:c r="D212" s="395"/>
      <x:c r="E212" s="396"/>
      <x:c r="F212" s="396"/>
      <x:c r="G212" s="396"/>
      <x:c r="H212" s="508" t="str">
        <x:f>IF(B212="","",B212-WEEKDAY(B212-2,1)+1)</x:f>
      </x:c>
      <x:c r="I212" s="396"/>
      <x:c r="J212" s="396"/>
      <x:c r="K212" s="396"/>
      <x:c r="L212" s="396"/>
      <x:c r="M212" s="396"/>
    </x:row>
    <x:row r="213">
      <x:c r="A213" s="396"/>
      <x:c r="B213" s="414"/>
      <x:c r="C213" s="396"/>
      <x:c r="D213" s="395"/>
      <x:c r="E213" s="396"/>
      <x:c r="F213" s="396"/>
      <x:c r="G213" s="396"/>
      <x:c r="H213" s="508" t="str">
        <x:f>IF(B213="","",B213-WEEKDAY(B213-2,1)+1)</x:f>
      </x:c>
      <x:c r="I213" s="396"/>
      <x:c r="J213" s="396"/>
      <x:c r="K213" s="396"/>
      <x:c r="L213" s="396"/>
      <x:c r="M213" s="396"/>
    </x:row>
    <x:row r="214">
      <x:c r="A214" s="396"/>
      <x:c r="B214" s="414"/>
      <x:c r="C214" s="396"/>
      <x:c r="D214" s="395"/>
      <x:c r="E214" s="396"/>
      <x:c r="F214" s="396"/>
      <x:c r="G214" s="396"/>
      <x:c r="H214" s="508" t="str">
        <x:f>IF(B214="","",B214-WEEKDAY(B214-2,1)+1)</x:f>
      </x:c>
      <x:c r="I214" s="396"/>
      <x:c r="J214" s="396"/>
      <x:c r="K214" s="396"/>
      <x:c r="L214" s="396"/>
      <x:c r="M214" s="396"/>
    </x:row>
    <x:row r="215">
      <x:c r="A215" s="396"/>
      <x:c r="B215" s="414"/>
      <x:c r="C215" s="396"/>
      <x:c r="D215" s="395"/>
      <x:c r="E215" s="396"/>
      <x:c r="F215" s="396"/>
      <x:c r="G215" s="396"/>
      <x:c r="H215" s="508" t="str">
        <x:f>IF(B215="","",B215-WEEKDAY(B215-2,1)+1)</x:f>
      </x:c>
      <x:c r="I215" s="396"/>
      <x:c r="J215" s="396"/>
      <x:c r="K215" s="396"/>
      <x:c r="L215" s="396"/>
      <x:c r="M215" s="396"/>
    </x:row>
    <x:row r="216">
      <x:c r="A216" s="396"/>
      <x:c r="B216" s="414"/>
      <x:c r="C216" s="396"/>
      <x:c r="D216" s="395"/>
      <x:c r="E216" s="396"/>
      <x:c r="F216" s="396"/>
      <x:c r="G216" s="396"/>
      <x:c r="H216" s="508" t="str">
        <x:f>IF(B216="","",B216-WEEKDAY(B216-2,1)+1)</x:f>
      </x:c>
      <x:c r="I216" s="396"/>
      <x:c r="J216" s="396"/>
      <x:c r="K216" s="396"/>
      <x:c r="L216" s="396"/>
      <x:c r="M216" s="396"/>
    </x:row>
    <x:row r="217">
      <x:c r="A217" s="396"/>
      <x:c r="B217" s="414"/>
      <x:c r="C217" s="396"/>
      <x:c r="D217" s="395"/>
      <x:c r="E217" s="396"/>
      <x:c r="F217" s="396"/>
      <x:c r="G217" s="396"/>
      <x:c r="H217" s="508" t="str">
        <x:f>IF(B217="","",B217-WEEKDAY(B217-2,1)+1)</x:f>
      </x:c>
      <x:c r="I217" s="396"/>
      <x:c r="J217" s="396"/>
      <x:c r="K217" s="396"/>
      <x:c r="L217" s="396"/>
      <x:c r="M217" s="396"/>
    </x:row>
    <x:row r="218">
      <x:c r="A218" s="396"/>
      <x:c r="B218" s="414"/>
      <x:c r="C218" s="396"/>
      <x:c r="D218" s="395"/>
      <x:c r="E218" s="396"/>
      <x:c r="F218" s="396"/>
      <x:c r="G218" s="396"/>
      <x:c r="H218" s="508" t="str">
        <x:f>IF(B218="","",B218-WEEKDAY(B218-2,1)+1)</x:f>
      </x:c>
      <x:c r="I218" s="396"/>
      <x:c r="J218" s="396"/>
      <x:c r="K218" s="396"/>
      <x:c r="L218" s="396"/>
      <x:c r="M218" s="396"/>
    </x:row>
    <x:row r="219">
      <x:c r="A219" s="396"/>
      <x:c r="B219" s="414"/>
      <x:c r="C219" s="396"/>
      <x:c r="D219" s="395"/>
      <x:c r="E219" s="396"/>
      <x:c r="F219" s="396"/>
      <x:c r="G219" s="396"/>
      <x:c r="H219" s="508" t="str">
        <x:f>IF(B219="","",B219-WEEKDAY(B219-2,1)+1)</x:f>
      </x:c>
      <x:c r="I219" s="396"/>
      <x:c r="J219" s="396"/>
      <x:c r="K219" s="396"/>
      <x:c r="L219" s="396"/>
      <x:c r="M219" s="396"/>
    </x:row>
    <x:row r="220">
      <x:c r="A220" s="396"/>
      <x:c r="B220" s="414"/>
      <x:c r="C220" s="396"/>
      <x:c r="D220" s="395"/>
      <x:c r="E220" s="396"/>
      <x:c r="F220" s="396"/>
      <x:c r="G220" s="396"/>
      <x:c r="H220" s="508" t="str">
        <x:f>IF(B220="","",B220-WEEKDAY(B220-2,1)+1)</x:f>
      </x:c>
      <x:c r="I220" s="396"/>
      <x:c r="J220" s="396"/>
      <x:c r="K220" s="396"/>
      <x:c r="L220" s="396"/>
      <x:c r="M220" s="396"/>
    </x:row>
    <x:row r="221">
      <x:c r="A221" s="396"/>
      <x:c r="B221" s="414"/>
      <x:c r="C221" s="396"/>
      <x:c r="D221" s="395"/>
      <x:c r="E221" s="396"/>
      <x:c r="F221" s="396"/>
      <x:c r="G221" s="396"/>
      <x:c r="H221" s="508" t="str">
        <x:f>IF(B221="","",B221-WEEKDAY(B221-2,1)+1)</x:f>
      </x:c>
      <x:c r="I221" s="396"/>
      <x:c r="J221" s="396"/>
      <x:c r="K221" s="396"/>
      <x:c r="L221" s="396"/>
      <x:c r="M221" s="396"/>
    </x:row>
    <x:row r="222">
      <x:c r="A222" s="396"/>
      <x:c r="B222" s="414"/>
      <x:c r="C222" s="396"/>
      <x:c r="D222" s="395"/>
      <x:c r="E222" s="396"/>
      <x:c r="F222" s="396"/>
      <x:c r="G222" s="396"/>
      <x:c r="H222" s="508" t="str">
        <x:f>IF(B222="","",B222-WEEKDAY(B222-2,1)+1)</x:f>
      </x:c>
      <x:c r="I222" s="396"/>
      <x:c r="J222" s="396"/>
      <x:c r="K222" s="396"/>
      <x:c r="L222" s="396"/>
      <x:c r="M222" s="396"/>
    </x:row>
    <x:row r="223">
      <x:c r="A223" s="396"/>
      <x:c r="B223" s="414"/>
      <x:c r="C223" s="396"/>
      <x:c r="D223" s="395"/>
      <x:c r="E223" s="396"/>
      <x:c r="F223" s="396"/>
      <x:c r="G223" s="396"/>
      <x:c r="H223" s="508" t="str">
        <x:f>IF(B223="","",B223-WEEKDAY(B223-2,1)+1)</x:f>
      </x:c>
      <x:c r="I223" s="396"/>
      <x:c r="J223" s="396"/>
      <x:c r="K223" s="396"/>
      <x:c r="L223" s="396"/>
      <x:c r="M223" s="396"/>
    </x:row>
    <x:row r="224">
      <x:c r="A224" s="396"/>
      <x:c r="B224" s="414"/>
      <x:c r="C224" s="396"/>
      <x:c r="D224" s="395"/>
      <x:c r="E224" s="396"/>
      <x:c r="F224" s="396"/>
      <x:c r="G224" s="396"/>
      <x:c r="H224" s="508" t="str">
        <x:f>IF(B224="","",B224-WEEKDAY(B224-2,1)+1)</x:f>
      </x:c>
      <x:c r="I224" s="396"/>
      <x:c r="J224" s="396"/>
      <x:c r="K224" s="396"/>
      <x:c r="L224" s="396"/>
      <x:c r="M224" s="396"/>
    </x:row>
    <x:row r="225">
      <x:c r="A225" s="396"/>
      <x:c r="B225" s="414"/>
      <x:c r="C225" s="396"/>
      <x:c r="D225" s="395"/>
      <x:c r="E225" s="396"/>
      <x:c r="F225" s="396"/>
      <x:c r="G225" s="396"/>
      <x:c r="H225" s="508" t="str">
        <x:f>IF(B225="","",B225-WEEKDAY(B225-2,1)+1)</x:f>
      </x:c>
      <x:c r="I225" s="396"/>
      <x:c r="J225" s="396"/>
      <x:c r="K225" s="396"/>
      <x:c r="L225" s="396"/>
      <x:c r="M225" s="396"/>
    </x:row>
    <x:row r="226">
      <x:c r="A226" s="396"/>
      <x:c r="B226" s="414"/>
      <x:c r="C226" s="396"/>
      <x:c r="D226" s="395"/>
      <x:c r="E226" s="396"/>
      <x:c r="F226" s="396"/>
      <x:c r="G226" s="396"/>
      <x:c r="H226" s="508" t="str">
        <x:f>IF(B226="","",B226-WEEKDAY(B226-2,1)+1)</x:f>
      </x:c>
      <x:c r="I226" s="396"/>
      <x:c r="J226" s="396"/>
      <x:c r="K226" s="396"/>
      <x:c r="L226" s="396"/>
      <x:c r="M226" s="396"/>
    </x:row>
    <x:row r="227">
      <x:c r="A227" s="396"/>
      <x:c r="B227" s="414"/>
      <x:c r="C227" s="396"/>
      <x:c r="D227" s="395"/>
      <x:c r="E227" s="396"/>
      <x:c r="F227" s="396"/>
      <x:c r="G227" s="396"/>
      <x:c r="H227" s="508" t="str">
        <x:f>IF(B227="","",B227-WEEKDAY(B227-2,1)+1)</x:f>
      </x:c>
      <x:c r="I227" s="396"/>
      <x:c r="J227" s="396"/>
      <x:c r="K227" s="396"/>
      <x:c r="L227" s="396"/>
      <x:c r="M227" s="396"/>
    </x:row>
    <x:row r="228">
      <x:c r="A228" s="396"/>
      <x:c r="B228" s="414"/>
      <x:c r="C228" s="396"/>
      <x:c r="D228" s="395"/>
      <x:c r="E228" s="396"/>
      <x:c r="F228" s="396"/>
      <x:c r="G228" s="396"/>
      <x:c r="H228" s="508" t="str">
        <x:f>IF(B228="","",B228-WEEKDAY(B228-2,1)+1)</x:f>
      </x:c>
      <x:c r="I228" s="396"/>
      <x:c r="J228" s="396"/>
      <x:c r="K228" s="396"/>
      <x:c r="L228" s="396"/>
      <x:c r="M228" s="396"/>
    </x:row>
    <x:row r="229">
      <x:c r="A229" s="396"/>
      <x:c r="B229" s="414"/>
      <x:c r="C229" s="396"/>
      <x:c r="D229" s="395"/>
      <x:c r="E229" s="396"/>
      <x:c r="F229" s="396"/>
      <x:c r="G229" s="396"/>
      <x:c r="H229" s="508" t="str">
        <x:f>IF(B229="","",B229-WEEKDAY(B229-2,1)+1)</x:f>
      </x:c>
      <x:c r="I229" s="396"/>
      <x:c r="J229" s="396"/>
      <x:c r="K229" s="396"/>
      <x:c r="L229" s="396"/>
      <x:c r="M229" s="396"/>
    </x:row>
    <x:row r="230">
      <x:c r="A230" s="396"/>
      <x:c r="B230" s="414"/>
      <x:c r="C230" s="396"/>
      <x:c r="D230" s="395"/>
      <x:c r="E230" s="396"/>
      <x:c r="F230" s="396"/>
      <x:c r="G230" s="396"/>
      <x:c r="H230" s="508" t="str">
        <x:f>IF(B230="","",B230-WEEKDAY(B230-2,1)+1)</x:f>
      </x:c>
      <x:c r="I230" s="396"/>
      <x:c r="J230" s="396"/>
      <x:c r="K230" s="396"/>
      <x:c r="L230" s="396"/>
      <x:c r="M230" s="396"/>
    </x:row>
    <x:row r="231">
      <x:c r="A231" s="396"/>
      <x:c r="B231" s="414"/>
      <x:c r="C231" s="396"/>
      <x:c r="D231" s="395"/>
      <x:c r="E231" s="396"/>
      <x:c r="F231" s="396"/>
      <x:c r="G231" s="396"/>
      <x:c r="H231" s="508" t="str">
        <x:f>IF(B231="","",B231-WEEKDAY(B231-2,1)+1)</x:f>
      </x:c>
      <x:c r="I231" s="396"/>
      <x:c r="J231" s="396"/>
      <x:c r="K231" s="396"/>
      <x:c r="L231" s="396"/>
      <x:c r="M231" s="396"/>
    </x:row>
    <x:row r="232">
      <x:c r="A232" s="396"/>
      <x:c r="B232" s="414"/>
      <x:c r="C232" s="396"/>
      <x:c r="D232" s="395"/>
      <x:c r="E232" s="396"/>
      <x:c r="F232" s="396"/>
      <x:c r="G232" s="396"/>
      <x:c r="H232" s="508" t="str">
        <x:f>IF(B232="","",B232-WEEKDAY(B232-2,1)+1)</x:f>
      </x:c>
      <x:c r="I232" s="396"/>
      <x:c r="J232" s="396"/>
      <x:c r="K232" s="396"/>
      <x:c r="L232" s="396"/>
      <x:c r="M232" s="396"/>
    </x:row>
    <x:row r="233">
      <x:c r="A233" s="396"/>
      <x:c r="B233" s="414"/>
      <x:c r="C233" s="396"/>
      <x:c r="D233" s="395"/>
      <x:c r="E233" s="396"/>
      <x:c r="F233" s="396"/>
      <x:c r="G233" s="396"/>
      <x:c r="H233" s="508" t="str">
        <x:f>IF(B233="","",B233-WEEKDAY(B233-2,1)+1)</x:f>
      </x:c>
      <x:c r="I233" s="396"/>
      <x:c r="J233" s="396"/>
      <x:c r="K233" s="396"/>
      <x:c r="L233" s="396"/>
      <x:c r="M233" s="396"/>
    </x:row>
    <x:row r="234">
      <x:c r="A234" s="396"/>
      <x:c r="B234" s="414"/>
      <x:c r="C234" s="396"/>
      <x:c r="D234" s="395"/>
      <x:c r="E234" s="396"/>
      <x:c r="F234" s="396"/>
      <x:c r="G234" s="396"/>
      <x:c r="H234" s="508" t="str">
        <x:f>IF(B234="","",B234-WEEKDAY(B234-2,1)+1)</x:f>
      </x:c>
      <x:c r="I234" s="396"/>
      <x:c r="J234" s="396"/>
      <x:c r="K234" s="396"/>
      <x:c r="L234" s="396"/>
      <x:c r="M234" s="396"/>
    </x:row>
    <x:row r="235">
      <x:c r="A235" s="396"/>
      <x:c r="B235" s="414"/>
      <x:c r="C235" s="396"/>
      <x:c r="D235" s="395"/>
      <x:c r="E235" s="396"/>
      <x:c r="F235" s="396"/>
      <x:c r="G235" s="396"/>
      <x:c r="H235" s="508" t="str">
        <x:f>IF(B235="","",B235-WEEKDAY(B235-2,1)+1)</x:f>
      </x:c>
      <x:c r="I235" s="396"/>
      <x:c r="J235" s="396"/>
      <x:c r="K235" s="396"/>
      <x:c r="L235" s="396"/>
      <x:c r="M235" s="396"/>
    </x:row>
    <x:row r="236">
      <x:c r="A236" s="396"/>
      <x:c r="B236" s="414"/>
      <x:c r="C236" s="396"/>
      <x:c r="D236" s="395"/>
      <x:c r="E236" s="396"/>
      <x:c r="F236" s="396"/>
      <x:c r="G236" s="396"/>
      <x:c r="H236" s="508" t="str">
        <x:f>IF(B236="","",B236-WEEKDAY(B236-2,1)+1)</x:f>
      </x:c>
      <x:c r="I236" s="396"/>
      <x:c r="J236" s="396"/>
      <x:c r="K236" s="396"/>
      <x:c r="L236" s="396"/>
      <x:c r="M236" s="396"/>
    </x:row>
    <x:row r="237">
      <x:c r="A237" s="396"/>
      <x:c r="B237" s="414"/>
      <x:c r="C237" s="396"/>
      <x:c r="D237" s="395"/>
      <x:c r="E237" s="396"/>
      <x:c r="F237" s="396"/>
      <x:c r="G237" s="396"/>
      <x:c r="H237" s="508" t="str">
        <x:f>IF(B237="","",B237-WEEKDAY(B237-2,1)+1)</x:f>
      </x:c>
      <x:c r="I237" s="396"/>
      <x:c r="J237" s="396"/>
      <x:c r="K237" s="396"/>
      <x:c r="L237" s="396"/>
      <x:c r="M237" s="396"/>
    </x:row>
    <x:row r="238">
      <x:c r="A238" s="396"/>
      <x:c r="B238" s="414"/>
      <x:c r="C238" s="396"/>
      <x:c r="D238" s="395"/>
      <x:c r="E238" s="396"/>
      <x:c r="F238" s="396"/>
      <x:c r="G238" s="396"/>
      <x:c r="H238" s="508" t="str">
        <x:f>IF(B238="","",B238-WEEKDAY(B238-2,1)+1)</x:f>
      </x:c>
      <x:c r="I238" s="396"/>
      <x:c r="J238" s="396"/>
      <x:c r="K238" s="396"/>
      <x:c r="L238" s="396"/>
      <x:c r="M238" s="396"/>
    </x:row>
    <x:row r="239">
      <x:c r="A239" s="396"/>
      <x:c r="B239" s="414"/>
      <x:c r="C239" s="396"/>
      <x:c r="D239" s="395"/>
      <x:c r="E239" s="396"/>
      <x:c r="F239" s="396"/>
      <x:c r="G239" s="396"/>
      <x:c r="H239" s="508" t="str">
        <x:f>IF(B239="","",B239-WEEKDAY(B239-2,1)+1)</x:f>
      </x:c>
      <x:c r="I239" s="396"/>
      <x:c r="J239" s="396"/>
      <x:c r="K239" s="396"/>
      <x:c r="L239" s="396"/>
      <x:c r="M239" s="396"/>
    </x:row>
    <x:row r="240">
      <x:c r="A240" s="396"/>
      <x:c r="B240" s="414"/>
      <x:c r="C240" s="396"/>
      <x:c r="D240" s="395"/>
      <x:c r="E240" s="396"/>
      <x:c r="F240" s="396"/>
      <x:c r="G240" s="396"/>
      <x:c r="H240" s="508" t="str">
        <x:f>IF(B240="","",B240-WEEKDAY(B240-2,1)+1)</x:f>
      </x:c>
      <x:c r="I240" s="396"/>
      <x:c r="J240" s="396"/>
      <x:c r="K240" s="396"/>
      <x:c r="L240" s="396"/>
      <x:c r="M240" s="396"/>
    </x:row>
    <x:row r="241">
      <x:c r="A241" s="396"/>
      <x:c r="B241" s="414"/>
      <x:c r="C241" s="396"/>
      <x:c r="D241" s="395"/>
      <x:c r="E241" s="396"/>
      <x:c r="F241" s="396"/>
      <x:c r="G241" s="396"/>
      <x:c r="H241" s="508" t="str">
        <x:f>IF(B241="","",B241-WEEKDAY(B241-2,1)+1)</x:f>
      </x:c>
      <x:c r="I241" s="396"/>
      <x:c r="J241" s="396"/>
      <x:c r="K241" s="396"/>
      <x:c r="L241" s="396"/>
      <x:c r="M241" s="396"/>
    </x:row>
    <x:row r="242">
      <x:c r="A242" s="396"/>
      <x:c r="B242" s="414"/>
      <x:c r="C242" s="396"/>
      <x:c r="D242" s="395"/>
      <x:c r="E242" s="396"/>
      <x:c r="F242" s="396"/>
      <x:c r="G242" s="396"/>
      <x:c r="H242" s="508" t="str">
        <x:f>IF(B242="","",B242-WEEKDAY(B242-2,1)+1)</x:f>
      </x:c>
      <x:c r="I242" s="396"/>
      <x:c r="J242" s="396"/>
      <x:c r="K242" s="396"/>
      <x:c r="L242" s="396"/>
      <x:c r="M242" s="396"/>
    </x:row>
    <x:row r="243">
      <x:c r="A243" s="396"/>
      <x:c r="B243" s="414"/>
      <x:c r="C243" s="396"/>
      <x:c r="D243" s="395"/>
      <x:c r="E243" s="396"/>
      <x:c r="F243" s="396"/>
      <x:c r="G243" s="396"/>
      <x:c r="H243" s="508" t="str">
        <x:f>IF(B243="","",B243-WEEKDAY(B243-2,1)+1)</x:f>
      </x:c>
      <x:c r="I243" s="396"/>
      <x:c r="J243" s="396"/>
      <x:c r="K243" s="396"/>
      <x:c r="L243" s="396"/>
      <x:c r="M243" s="396"/>
    </x:row>
    <x:row r="244">
      <x:c r="A244" s="396"/>
      <x:c r="B244" s="414"/>
      <x:c r="C244" s="396"/>
      <x:c r="D244" s="395"/>
      <x:c r="E244" s="396"/>
      <x:c r="F244" s="396"/>
      <x:c r="G244" s="396"/>
      <x:c r="H244" s="508" t="str">
        <x:f>IF(B244="","",B244-WEEKDAY(B244-2,1)+1)</x:f>
      </x:c>
      <x:c r="I244" s="396"/>
      <x:c r="J244" s="396"/>
      <x:c r="K244" s="396"/>
      <x:c r="L244" s="396"/>
      <x:c r="M244" s="396"/>
    </x:row>
    <x:row r="245">
      <x:c r="A245" s="396"/>
      <x:c r="B245" s="414"/>
      <x:c r="C245" s="396"/>
      <x:c r="D245" s="395"/>
      <x:c r="E245" s="396"/>
      <x:c r="F245" s="396"/>
      <x:c r="G245" s="396"/>
      <x:c r="H245" s="508" t="str">
        <x:f>IF(B245="","",B245-WEEKDAY(B245-2,1)+1)</x:f>
      </x:c>
      <x:c r="I245" s="396"/>
      <x:c r="J245" s="396"/>
      <x:c r="K245" s="396"/>
      <x:c r="L245" s="396"/>
      <x:c r="M245" s="396"/>
    </x:row>
    <x:row r="246">
      <x:c r="A246" s="396"/>
      <x:c r="B246" s="414"/>
      <x:c r="C246" s="396"/>
      <x:c r="D246" s="395"/>
      <x:c r="E246" s="396"/>
      <x:c r="F246" s="396"/>
      <x:c r="G246" s="396"/>
      <x:c r="H246" s="508" t="str">
        <x:f>IF(B246="","",B246-WEEKDAY(B246-2,1)+1)</x:f>
      </x:c>
      <x:c r="I246" s="396"/>
      <x:c r="J246" s="396"/>
      <x:c r="K246" s="396"/>
      <x:c r="L246" s="396"/>
      <x:c r="M246" s="396"/>
    </x:row>
    <x:row r="247">
      <x:c r="A247" s="396"/>
      <x:c r="B247" s="414"/>
      <x:c r="C247" s="396"/>
      <x:c r="D247" s="395"/>
      <x:c r="E247" s="396"/>
      <x:c r="F247" s="396"/>
      <x:c r="G247" s="396"/>
      <x:c r="H247" s="508" t="str">
        <x:f>IF(B247="","",B247-WEEKDAY(B247-2,1)+1)</x:f>
      </x:c>
      <x:c r="I247" s="396"/>
      <x:c r="J247" s="396"/>
      <x:c r="K247" s="396"/>
      <x:c r="L247" s="396"/>
      <x:c r="M247" s="396"/>
    </x:row>
    <x:row r="248">
      <x:c r="A248" s="396"/>
      <x:c r="B248" s="414"/>
      <x:c r="C248" s="396"/>
      <x:c r="D248" s="395"/>
      <x:c r="E248" s="396"/>
      <x:c r="F248" s="396"/>
      <x:c r="G248" s="396"/>
      <x:c r="H248" s="508" t="str">
        <x:f>IF(B248="","",B248-WEEKDAY(B248-2,1)+1)</x:f>
      </x:c>
      <x:c r="I248" s="396"/>
      <x:c r="J248" s="396"/>
      <x:c r="K248" s="396"/>
      <x:c r="L248" s="396"/>
      <x:c r="M248" s="396"/>
    </x:row>
    <x:row r="249">
      <x:c r="A249" s="396"/>
      <x:c r="B249" s="414"/>
      <x:c r="C249" s="396"/>
      <x:c r="D249" s="395"/>
      <x:c r="E249" s="396"/>
      <x:c r="F249" s="396"/>
      <x:c r="G249" s="396"/>
      <x:c r="H249" s="508" t="str">
        <x:f>IF(B249="","",B249-WEEKDAY(B249-2,1)+1)</x:f>
      </x:c>
      <x:c r="I249" s="396"/>
      <x:c r="J249" s="396"/>
      <x:c r="K249" s="396"/>
      <x:c r="L249" s="396"/>
      <x:c r="M249" s="396"/>
    </x:row>
    <x:row r="250">
      <x:c r="A250" s="396"/>
      <x:c r="B250" s="414"/>
      <x:c r="C250" s="396"/>
      <x:c r="D250" s="395"/>
      <x:c r="E250" s="396"/>
      <x:c r="F250" s="396"/>
      <x:c r="G250" s="396"/>
      <x:c r="H250" s="508" t="str">
        <x:f>IF(B250="","",B250-WEEKDAY(B250-2,1)+1)</x:f>
      </x:c>
      <x:c r="I250" s="396"/>
      <x:c r="J250" s="396"/>
      <x:c r="K250" s="396"/>
      <x:c r="L250" s="396"/>
      <x:c r="M250" s="396"/>
    </x:row>
    <x:row r="251">
      <x:c r="A251" s="396"/>
      <x:c r="B251" s="414"/>
      <x:c r="C251" s="396"/>
      <x:c r="D251" s="395"/>
      <x:c r="E251" s="396"/>
      <x:c r="F251" s="396"/>
      <x:c r="G251" s="396"/>
      <x:c r="H251" s="508" t="str">
        <x:f>IF(B251="","",B251-WEEKDAY(B251-2,1)+1)</x:f>
      </x:c>
      <x:c r="I251" s="396"/>
      <x:c r="J251" s="396"/>
      <x:c r="K251" s="396"/>
      <x:c r="L251" s="396"/>
      <x:c r="M251" s="396"/>
    </x:row>
    <x:row r="252">
      <x:c r="A252" s="396"/>
      <x:c r="B252" s="414"/>
      <x:c r="C252" s="396"/>
      <x:c r="D252" s="395"/>
      <x:c r="E252" s="396"/>
      <x:c r="F252" s="396"/>
      <x:c r="G252" s="396"/>
      <x:c r="H252" s="508" t="str">
        <x:f>IF(B252="","",B252-WEEKDAY(B252-2,1)+1)</x:f>
      </x:c>
      <x:c r="I252" s="396"/>
      <x:c r="J252" s="396"/>
      <x:c r="K252" s="396"/>
      <x:c r="L252" s="396"/>
      <x:c r="M252" s="396"/>
    </x:row>
    <x:row r="253">
      <x:c r="A253" s="396"/>
      <x:c r="B253" s="414"/>
      <x:c r="C253" s="396"/>
      <x:c r="D253" s="395"/>
      <x:c r="E253" s="396"/>
      <x:c r="F253" s="396"/>
      <x:c r="G253" s="396"/>
      <x:c r="H253" s="508" t="str">
        <x:f>IF(B253="","",B253-WEEKDAY(B253-2,1)+1)</x:f>
      </x:c>
      <x:c r="I253" s="396"/>
      <x:c r="J253" s="396"/>
      <x:c r="K253" s="396"/>
      <x:c r="L253" s="396"/>
      <x:c r="M253" s="396"/>
    </x:row>
    <x:row r="254">
      <x:c r="A254" s="396"/>
      <x:c r="B254" s="414"/>
      <x:c r="C254" s="396"/>
      <x:c r="D254" s="395"/>
      <x:c r="E254" s="396"/>
      <x:c r="F254" s="396"/>
      <x:c r="G254" s="396"/>
      <x:c r="H254" s="508" t="str">
        <x:f>IF(B254="","",B254-WEEKDAY(B254-2,1)+1)</x:f>
      </x:c>
      <x:c r="I254" s="396"/>
      <x:c r="J254" s="396"/>
      <x:c r="K254" s="396"/>
      <x:c r="L254" s="396"/>
      <x:c r="M254" s="396"/>
    </x:row>
    <x:row r="255">
      <x:c r="A255" s="396"/>
      <x:c r="B255" s="414"/>
      <x:c r="C255" s="396"/>
      <x:c r="D255" s="395"/>
      <x:c r="E255" s="396"/>
      <x:c r="F255" s="396"/>
      <x:c r="G255" s="396"/>
      <x:c r="H255" s="508" t="str">
        <x:f>IF(B255="","",B255-WEEKDAY(B255-2,1)+1)</x:f>
      </x:c>
      <x:c r="I255" s="396"/>
      <x:c r="J255" s="396"/>
      <x:c r="K255" s="396"/>
      <x:c r="L255" s="396"/>
      <x:c r="M255" s="396"/>
    </x:row>
    <x:row r="256">
      <x:c r="A256" s="396"/>
      <x:c r="B256" s="414"/>
      <x:c r="C256" s="396"/>
      <x:c r="D256" s="395"/>
      <x:c r="E256" s="396"/>
      <x:c r="F256" s="396"/>
      <x:c r="G256" s="396"/>
      <x:c r="H256" s="508" t="str">
        <x:f>IF(B256="","",B256-WEEKDAY(B256-2,1)+1)</x:f>
      </x:c>
      <x:c r="I256" s="396"/>
      <x:c r="J256" s="396"/>
      <x:c r="K256" s="396"/>
      <x:c r="L256" s="396"/>
      <x:c r="M256" s="396"/>
    </x:row>
    <x:row r="257">
      <x:c r="A257" s="396"/>
      <x:c r="B257" s="414"/>
      <x:c r="C257" s="396"/>
      <x:c r="D257" s="395"/>
      <x:c r="E257" s="396"/>
      <x:c r="F257" s="396"/>
      <x:c r="G257" s="396"/>
      <x:c r="H257" s="508" t="str">
        <x:f>IF(B257="","",B257-WEEKDAY(B257-2,1)+1)</x:f>
      </x:c>
      <x:c r="I257" s="396"/>
      <x:c r="J257" s="396"/>
      <x:c r="K257" s="396"/>
      <x:c r="L257" s="396"/>
      <x:c r="M257" s="396"/>
    </x:row>
    <x:row r="258">
      <x:c r="A258" s="396"/>
      <x:c r="B258" s="414"/>
      <x:c r="C258" s="396"/>
      <x:c r="D258" s="395"/>
      <x:c r="E258" s="396"/>
      <x:c r="F258" s="396"/>
      <x:c r="G258" s="396"/>
      <x:c r="H258" s="508" t="str">
        <x:f>IF(B258="","",B258-WEEKDAY(B258-2,1)+1)</x:f>
      </x:c>
      <x:c r="I258" s="396"/>
      <x:c r="J258" s="396"/>
      <x:c r="K258" s="396"/>
      <x:c r="L258" s="396"/>
      <x:c r="M258" s="396"/>
    </x:row>
    <x:row r="259">
      <x:c r="A259" s="396"/>
      <x:c r="B259" s="414"/>
      <x:c r="C259" s="396"/>
      <x:c r="D259" s="395"/>
      <x:c r="E259" s="396"/>
      <x:c r="F259" s="396"/>
      <x:c r="G259" s="396"/>
      <x:c r="H259" s="508" t="str">
        <x:f>IF(B259="","",B259-WEEKDAY(B259-2,1)+1)</x:f>
      </x:c>
      <x:c r="I259" s="396"/>
      <x:c r="J259" s="396"/>
      <x:c r="K259" s="396"/>
      <x:c r="L259" s="396"/>
      <x:c r="M259" s="396"/>
    </x:row>
    <x:row r="260">
      <x:c r="A260" s="396"/>
      <x:c r="B260" s="414"/>
      <x:c r="C260" s="396"/>
      <x:c r="D260" s="395"/>
      <x:c r="E260" s="396"/>
      <x:c r="F260" s="396"/>
      <x:c r="G260" s="396"/>
      <x:c r="H260" s="508" t="str">
        <x:f>IF(B260="","",B260-WEEKDAY(B260-2,1)+1)</x:f>
      </x:c>
      <x:c r="I260" s="396"/>
      <x:c r="J260" s="396"/>
      <x:c r="K260" s="396"/>
      <x:c r="L260" s="396"/>
      <x:c r="M260" s="396"/>
    </x:row>
    <x:row r="261">
      <x:c r="A261" s="396"/>
      <x:c r="B261" s="414"/>
      <x:c r="C261" s="396"/>
      <x:c r="D261" s="395"/>
      <x:c r="E261" s="396"/>
      <x:c r="F261" s="396"/>
      <x:c r="G261" s="396"/>
      <x:c r="H261" s="508" t="str">
        <x:f>IF(B261="","",B261-WEEKDAY(B261-2,1)+1)</x:f>
      </x:c>
      <x:c r="I261" s="396"/>
      <x:c r="J261" s="396"/>
      <x:c r="K261" s="396"/>
      <x:c r="L261" s="396"/>
      <x:c r="M261" s="396"/>
    </x:row>
    <x:row r="262">
      <x:c r="A262" s="396"/>
      <x:c r="B262" s="414"/>
      <x:c r="C262" s="396"/>
      <x:c r="D262" s="395"/>
      <x:c r="E262" s="396"/>
      <x:c r="F262" s="396"/>
      <x:c r="G262" s="396"/>
      <x:c r="H262" s="508" t="str">
        <x:f>IF(B262="","",B262-WEEKDAY(B262-2,1)+1)</x:f>
      </x:c>
      <x:c r="I262" s="396"/>
      <x:c r="J262" s="396"/>
      <x:c r="K262" s="396"/>
      <x:c r="L262" s="396"/>
      <x:c r="M262" s="396"/>
    </x:row>
    <x:row r="263">
      <x:c r="A263" s="396"/>
      <x:c r="B263" s="414"/>
      <x:c r="C263" s="396"/>
      <x:c r="D263" s="395"/>
      <x:c r="E263" s="396"/>
      <x:c r="F263" s="396"/>
      <x:c r="G263" s="396"/>
      <x:c r="H263" s="508" t="str">
        <x:f>IF(B263="","",B263-WEEKDAY(B263-2,1)+1)</x:f>
      </x:c>
      <x:c r="I263" s="396"/>
      <x:c r="J263" s="396"/>
      <x:c r="K263" s="396"/>
      <x:c r="L263" s="396"/>
      <x:c r="M263" s="396"/>
    </x:row>
    <x:row r="264">
      <x:c r="A264" s="396"/>
      <x:c r="B264" s="414"/>
      <x:c r="C264" s="396"/>
      <x:c r="D264" s="395"/>
      <x:c r="E264" s="396"/>
      <x:c r="F264" s="396"/>
      <x:c r="G264" s="396"/>
      <x:c r="H264" s="508" t="str">
        <x:f>IF(B264="","",B264-WEEKDAY(B264-2,1)+1)</x:f>
      </x:c>
      <x:c r="I264" s="396"/>
      <x:c r="J264" s="396"/>
      <x:c r="K264" s="396"/>
      <x:c r="L264" s="396"/>
      <x:c r="M264" s="396"/>
    </x:row>
    <x:row r="265">
      <x:c r="A265" s="396"/>
      <x:c r="B265" s="414"/>
      <x:c r="C265" s="396"/>
      <x:c r="D265" s="395"/>
      <x:c r="E265" s="396"/>
      <x:c r="F265" s="396"/>
      <x:c r="G265" s="396"/>
      <x:c r="H265" s="508" t="str">
        <x:f>IF(B265="","",B265-WEEKDAY(B265-2,1)+1)</x:f>
      </x:c>
      <x:c r="I265" s="396"/>
      <x:c r="J265" s="396"/>
      <x:c r="K265" s="396"/>
      <x:c r="L265" s="396"/>
      <x:c r="M265" s="396"/>
    </x:row>
    <x:row r="266">
      <x:c r="A266" s="396"/>
      <x:c r="B266" s="414"/>
      <x:c r="C266" s="396"/>
      <x:c r="D266" s="395"/>
      <x:c r="E266" s="396"/>
      <x:c r="F266" s="396"/>
      <x:c r="G266" s="396"/>
      <x:c r="H266" s="508" t="str">
        <x:f>IF(B266="","",B266-WEEKDAY(B266-2,1)+1)</x:f>
      </x:c>
      <x:c r="I266" s="396"/>
      <x:c r="J266" s="396"/>
      <x:c r="K266" s="396"/>
      <x:c r="L266" s="396"/>
      <x:c r="M266" s="396"/>
    </x:row>
    <x:row r="267">
      <x:c r="A267" s="396"/>
      <x:c r="B267" s="414"/>
      <x:c r="C267" s="396"/>
      <x:c r="D267" s="395"/>
      <x:c r="E267" s="396"/>
      <x:c r="F267" s="396"/>
      <x:c r="G267" s="396"/>
      <x:c r="H267" s="508" t="str">
        <x:f>IF(B267="","",B267-WEEKDAY(B267-2,1)+1)</x:f>
      </x:c>
      <x:c r="I267" s="396"/>
      <x:c r="J267" s="396"/>
      <x:c r="K267" s="396"/>
      <x:c r="L267" s="396"/>
      <x:c r="M267" s="396"/>
    </x:row>
    <x:row r="268">
      <x:c r="A268" s="396"/>
      <x:c r="B268" s="414"/>
      <x:c r="C268" s="396"/>
      <x:c r="D268" s="395"/>
      <x:c r="E268" s="396"/>
      <x:c r="F268" s="396"/>
      <x:c r="G268" s="396"/>
      <x:c r="H268" s="508" t="str">
        <x:f>IF(B268="","",B268-WEEKDAY(B268-2,1)+1)</x:f>
      </x:c>
      <x:c r="I268" s="396"/>
      <x:c r="J268" s="396"/>
      <x:c r="K268" s="396"/>
      <x:c r="L268" s="396"/>
      <x:c r="M268" s="396"/>
    </x:row>
    <x:row r="269">
      <x:c r="A269" s="396"/>
      <x:c r="B269" s="414"/>
      <x:c r="C269" s="396"/>
      <x:c r="D269" s="395"/>
      <x:c r="E269" s="396"/>
      <x:c r="F269" s="396"/>
      <x:c r="G269" s="396"/>
      <x:c r="H269" s="508" t="str">
        <x:f>IF(B269="","",B269-WEEKDAY(B269-2,1)+1)</x:f>
      </x:c>
      <x:c r="I269" s="396"/>
      <x:c r="J269" s="396"/>
      <x:c r="K269" s="396"/>
      <x:c r="L269" s="396"/>
      <x:c r="M269" s="396"/>
    </x:row>
    <x:row r="270">
      <x:c r="A270" s="396"/>
      <x:c r="B270" s="414"/>
      <x:c r="C270" s="396"/>
      <x:c r="D270" s="395"/>
      <x:c r="E270" s="396"/>
      <x:c r="F270" s="396"/>
      <x:c r="G270" s="396"/>
      <x:c r="H270" s="508" t="str">
        <x:f>IF(B270="","",B270-WEEKDAY(B270-2,1)+1)</x:f>
      </x:c>
      <x:c r="I270" s="396"/>
      <x:c r="J270" s="396"/>
      <x:c r="K270" s="396"/>
      <x:c r="L270" s="396"/>
      <x:c r="M270" s="396"/>
    </x:row>
    <x:row r="271">
      <x:c r="A271" s="396"/>
      <x:c r="B271" s="414"/>
      <x:c r="C271" s="396"/>
      <x:c r="D271" s="395"/>
      <x:c r="E271" s="396"/>
      <x:c r="F271" s="396"/>
      <x:c r="G271" s="396"/>
      <x:c r="H271" s="508" t="str">
        <x:f>IF(B271="","",B271-WEEKDAY(B271-2,1)+1)</x:f>
      </x:c>
      <x:c r="I271" s="396"/>
      <x:c r="J271" s="396"/>
      <x:c r="K271" s="396"/>
      <x:c r="L271" s="396"/>
      <x:c r="M271" s="396"/>
    </x:row>
    <x:row r="272">
      <x:c r="A272" s="396"/>
      <x:c r="B272" s="414"/>
      <x:c r="C272" s="396"/>
      <x:c r="D272" s="395"/>
      <x:c r="E272" s="396"/>
      <x:c r="F272" s="396"/>
      <x:c r="G272" s="396"/>
      <x:c r="H272" s="508" t="str">
        <x:f>IF(B272="","",B272-WEEKDAY(B272-2,1)+1)</x:f>
      </x:c>
      <x:c r="I272" s="396"/>
      <x:c r="J272" s="396"/>
      <x:c r="K272" s="396"/>
      <x:c r="L272" s="396"/>
      <x:c r="M272" s="396"/>
    </x:row>
    <x:row r="273">
      <x:c r="A273" s="396"/>
      <x:c r="B273" s="414"/>
      <x:c r="C273" s="396"/>
      <x:c r="D273" s="395"/>
      <x:c r="E273" s="396"/>
      <x:c r="F273" s="396"/>
      <x:c r="G273" s="396"/>
      <x:c r="H273" s="508" t="str">
        <x:f>IF(B273="","",B273-WEEKDAY(B273-2,1)+1)</x:f>
      </x:c>
      <x:c r="I273" s="396"/>
      <x:c r="J273" s="396"/>
      <x:c r="K273" s="396"/>
      <x:c r="L273" s="396"/>
      <x:c r="M273" s="396"/>
    </x:row>
    <x:row r="274">
      <x:c r="A274" s="396"/>
      <x:c r="B274" s="414"/>
      <x:c r="C274" s="396"/>
      <x:c r="D274" s="395"/>
      <x:c r="E274" s="396"/>
      <x:c r="F274" s="396"/>
      <x:c r="G274" s="396"/>
      <x:c r="H274" s="508" t="str">
        <x:f>IF(B274="","",B274-WEEKDAY(B274-2,1)+1)</x:f>
      </x:c>
      <x:c r="I274" s="396"/>
      <x:c r="J274" s="396"/>
      <x:c r="K274" s="396"/>
      <x:c r="L274" s="396"/>
      <x:c r="M274" s="396"/>
    </x:row>
    <x:row r="275">
      <x:c r="A275" s="396"/>
      <x:c r="B275" s="414"/>
      <x:c r="C275" s="396"/>
      <x:c r="D275" s="395"/>
      <x:c r="E275" s="396"/>
      <x:c r="F275" s="396"/>
      <x:c r="G275" s="396"/>
      <x:c r="H275" s="508" t="str">
        <x:f>IF(B275="","",B275-WEEKDAY(B275-2,1)+1)</x:f>
      </x:c>
      <x:c r="I275" s="396"/>
      <x:c r="J275" s="396"/>
      <x:c r="K275" s="396"/>
      <x:c r="L275" s="396"/>
      <x:c r="M275" s="396"/>
    </x:row>
    <x:row r="276">
      <x:c r="A276" s="396"/>
      <x:c r="B276" s="414"/>
      <x:c r="C276" s="396"/>
      <x:c r="D276" s="395"/>
      <x:c r="E276" s="396"/>
      <x:c r="F276" s="396"/>
      <x:c r="G276" s="396"/>
      <x:c r="H276" s="508" t="str">
        <x:f>IF(B276="","",B276-WEEKDAY(B276-2,1)+1)</x:f>
      </x:c>
      <x:c r="I276" s="396"/>
      <x:c r="J276" s="396"/>
      <x:c r="K276" s="396"/>
      <x:c r="L276" s="396"/>
      <x:c r="M276" s="396"/>
    </x:row>
    <x:row r="277">
      <x:c r="A277" s="396"/>
      <x:c r="B277" s="414"/>
      <x:c r="C277" s="396"/>
      <x:c r="D277" s="395"/>
      <x:c r="E277" s="396"/>
      <x:c r="F277" s="396"/>
      <x:c r="G277" s="396"/>
      <x:c r="H277" s="508" t="str">
        <x:f>IF(B277="","",B277-WEEKDAY(B277-2,1)+1)</x:f>
      </x:c>
      <x:c r="I277" s="396"/>
      <x:c r="J277" s="396"/>
      <x:c r="K277" s="396"/>
      <x:c r="L277" s="396"/>
      <x:c r="M277" s="396"/>
    </x:row>
    <x:row r="278">
      <x:c r="A278" s="396"/>
      <x:c r="B278" s="414"/>
      <x:c r="C278" s="396"/>
      <x:c r="D278" s="395"/>
      <x:c r="E278" s="396"/>
      <x:c r="F278" s="396"/>
      <x:c r="G278" s="396"/>
      <x:c r="H278" s="508" t="str">
        <x:f>IF(B278="","",B278-WEEKDAY(B278-2,1)+1)</x:f>
      </x:c>
      <x:c r="I278" s="396"/>
      <x:c r="J278" s="396"/>
      <x:c r="K278" s="396"/>
      <x:c r="L278" s="396"/>
      <x:c r="M278" s="396"/>
    </x:row>
    <x:row r="279">
      <x:c r="A279" s="396"/>
      <x:c r="B279" s="414"/>
      <x:c r="C279" s="396"/>
      <x:c r="D279" s="395"/>
      <x:c r="E279" s="396"/>
      <x:c r="F279" s="396"/>
      <x:c r="G279" s="396"/>
      <x:c r="H279" s="508" t="str">
        <x:f>IF(B279="","",B279-WEEKDAY(B279-2,1)+1)</x:f>
      </x:c>
      <x:c r="I279" s="396"/>
      <x:c r="J279" s="396"/>
      <x:c r="K279" s="396"/>
      <x:c r="L279" s="396"/>
      <x:c r="M279" s="396"/>
    </x:row>
    <x:row r="280">
      <x:c r="A280" s="396"/>
      <x:c r="B280" s="414"/>
      <x:c r="C280" s="396"/>
      <x:c r="D280" s="395"/>
      <x:c r="E280" s="396"/>
      <x:c r="F280" s="396"/>
      <x:c r="G280" s="396"/>
      <x:c r="H280" s="508" t="str">
        <x:f>IF(B280="","",B280-WEEKDAY(B280-2,1)+1)</x:f>
      </x:c>
      <x:c r="I280" s="396"/>
      <x:c r="J280" s="396"/>
      <x:c r="K280" s="396"/>
      <x:c r="L280" s="396"/>
      <x:c r="M280" s="396"/>
    </x:row>
    <x:row r="281">
      <x:c r="A281" s="396"/>
      <x:c r="B281" s="414"/>
      <x:c r="C281" s="396"/>
      <x:c r="D281" s="395"/>
      <x:c r="E281" s="396"/>
      <x:c r="F281" s="396"/>
      <x:c r="G281" s="396"/>
      <x:c r="H281" s="508" t="str">
        <x:f>IF(B281="","",B281-WEEKDAY(B281-2,1)+1)</x:f>
      </x:c>
      <x:c r="I281" s="396"/>
      <x:c r="J281" s="396"/>
      <x:c r="K281" s="396"/>
      <x:c r="L281" s="396"/>
      <x:c r="M281" s="396"/>
    </x:row>
    <x:row r="282">
      <x:c r="A282" s="396"/>
      <x:c r="B282" s="414"/>
      <x:c r="C282" s="396"/>
      <x:c r="D282" s="395"/>
      <x:c r="E282" s="396"/>
      <x:c r="F282" s="396"/>
      <x:c r="G282" s="396"/>
      <x:c r="H282" s="508" t="str">
        <x:f>IF(B282="","",B282-WEEKDAY(B282-2,1)+1)</x:f>
      </x:c>
      <x:c r="I282" s="396"/>
      <x:c r="J282" s="396"/>
      <x:c r="K282" s="396"/>
      <x:c r="L282" s="396"/>
      <x:c r="M282" s="396"/>
    </x:row>
    <x:row r="283">
      <x:c r="A283" s="396"/>
      <x:c r="B283" s="414"/>
      <x:c r="C283" s="396"/>
      <x:c r="D283" s="395"/>
      <x:c r="E283" s="396"/>
      <x:c r="F283" s="396"/>
      <x:c r="G283" s="396"/>
      <x:c r="H283" s="508" t="str">
        <x:f>IF(B283="","",B283-WEEKDAY(B283-2,1)+1)</x:f>
      </x:c>
      <x:c r="I283" s="396"/>
      <x:c r="J283" s="396"/>
      <x:c r="K283" s="396"/>
      <x:c r="L283" s="396"/>
      <x:c r="M283" s="396"/>
    </x:row>
    <x:row r="284">
      <x:c r="A284" s="396"/>
      <x:c r="B284" s="414"/>
      <x:c r="C284" s="396"/>
      <x:c r="D284" s="395"/>
      <x:c r="E284" s="396"/>
      <x:c r="F284" s="396"/>
      <x:c r="G284" s="396"/>
      <x:c r="H284" s="508" t="str">
        <x:f>IF(B284="","",B284-WEEKDAY(B284-2,1)+1)</x:f>
      </x:c>
      <x:c r="I284" s="396"/>
      <x:c r="J284" s="396"/>
      <x:c r="K284" s="396"/>
      <x:c r="L284" s="396"/>
      <x:c r="M284" s="396"/>
    </x:row>
    <x:row r="285">
      <x:c r="A285" s="396"/>
      <x:c r="B285" s="414"/>
      <x:c r="C285" s="396"/>
      <x:c r="D285" s="395"/>
      <x:c r="E285" s="396"/>
      <x:c r="F285" s="396"/>
      <x:c r="G285" s="396"/>
      <x:c r="H285" s="508" t="str">
        <x:f>IF(B285="","",B285-WEEKDAY(B285-2,1)+1)</x:f>
      </x:c>
      <x:c r="I285" s="396"/>
      <x:c r="J285" s="396"/>
      <x:c r="K285" s="396"/>
      <x:c r="L285" s="396"/>
      <x:c r="M285" s="396"/>
    </x:row>
    <x:row r="286">
      <x:c r="A286" s="396"/>
      <x:c r="B286" s="414"/>
      <x:c r="C286" s="396"/>
      <x:c r="D286" s="395"/>
      <x:c r="E286" s="396"/>
      <x:c r="F286" s="396"/>
      <x:c r="G286" s="396"/>
      <x:c r="H286" s="508" t="str">
        <x:f>IF(B286="","",B286-WEEKDAY(B286-2,1)+1)</x:f>
      </x:c>
      <x:c r="I286" s="396"/>
      <x:c r="J286" s="396"/>
      <x:c r="K286" s="396"/>
      <x:c r="L286" s="396"/>
      <x:c r="M286" s="396"/>
    </x:row>
    <x:row r="287">
      <x:c r="A287" s="396"/>
      <x:c r="B287" s="414"/>
      <x:c r="C287" s="396"/>
      <x:c r="D287" s="395"/>
      <x:c r="E287" s="396"/>
      <x:c r="F287" s="396"/>
      <x:c r="G287" s="396"/>
      <x:c r="H287" s="508" t="str">
        <x:f>IF(B287="","",B287-WEEKDAY(B287-2,1)+1)</x:f>
      </x:c>
      <x:c r="I287" s="396"/>
      <x:c r="J287" s="396"/>
      <x:c r="K287" s="396"/>
      <x:c r="L287" s="396"/>
      <x:c r="M287" s="396"/>
    </x:row>
    <x:row r="288">
      <x:c r="A288" s="396"/>
      <x:c r="B288" s="414"/>
      <x:c r="C288" s="396"/>
      <x:c r="D288" s="395"/>
      <x:c r="E288" s="396"/>
      <x:c r="F288" s="396"/>
      <x:c r="G288" s="396"/>
      <x:c r="H288" s="508" t="str">
        <x:f>IF(B288="","",B288-WEEKDAY(B288-2,1)+1)</x:f>
      </x:c>
      <x:c r="I288" s="396"/>
      <x:c r="J288" s="396"/>
      <x:c r="K288" s="396"/>
      <x:c r="L288" s="396"/>
      <x:c r="M288" s="396"/>
    </x:row>
    <x:row r="289">
      <x:c r="A289" s="396"/>
      <x:c r="B289" s="414"/>
      <x:c r="C289" s="396"/>
      <x:c r="D289" s="395"/>
      <x:c r="E289" s="396"/>
      <x:c r="F289" s="396"/>
      <x:c r="G289" s="396"/>
      <x:c r="H289" s="508" t="str">
        <x:f>IF(B289="","",B289-WEEKDAY(B289-2,1)+1)</x:f>
      </x:c>
      <x:c r="I289" s="396"/>
      <x:c r="J289" s="396"/>
      <x:c r="K289" s="396"/>
      <x:c r="L289" s="396"/>
      <x:c r="M289" s="396"/>
    </x:row>
    <x:row r="290">
      <x:c r="A290" s="396"/>
      <x:c r="B290" s="414"/>
      <x:c r="C290" s="396"/>
      <x:c r="D290" s="395"/>
      <x:c r="E290" s="396"/>
      <x:c r="F290" s="396"/>
      <x:c r="G290" s="396"/>
      <x:c r="H290" s="508" t="str">
        <x:f>IF(B290="","",B290-WEEKDAY(B290-2,1)+1)</x:f>
      </x:c>
      <x:c r="I290" s="396"/>
      <x:c r="J290" s="396"/>
      <x:c r="K290" s="396"/>
      <x:c r="L290" s="396"/>
      <x:c r="M290" s="396"/>
    </x:row>
    <x:row r="291">
      <x:c r="A291" s="396"/>
      <x:c r="B291" s="414"/>
      <x:c r="C291" s="396"/>
      <x:c r="D291" s="395"/>
      <x:c r="E291" s="396"/>
      <x:c r="F291" s="396"/>
      <x:c r="G291" s="396"/>
      <x:c r="H291" s="508" t="str">
        <x:f>IF(B291="","",B291-WEEKDAY(B291-2,1)+1)</x:f>
      </x:c>
      <x:c r="I291" s="396"/>
      <x:c r="J291" s="396"/>
      <x:c r="K291" s="396"/>
      <x:c r="L291" s="396"/>
      <x:c r="M291" s="396"/>
    </x:row>
    <x:row r="292">
      <x:c r="A292" s="396"/>
      <x:c r="B292" s="414"/>
      <x:c r="C292" s="396"/>
      <x:c r="D292" s="395"/>
      <x:c r="E292" s="396"/>
      <x:c r="F292" s="396"/>
      <x:c r="G292" s="396"/>
      <x:c r="H292" s="508" t="str">
        <x:f>IF(B292="","",B292-WEEKDAY(B292-2,1)+1)</x:f>
      </x:c>
      <x:c r="I292" s="396"/>
      <x:c r="J292" s="396"/>
      <x:c r="K292" s="396"/>
      <x:c r="L292" s="396"/>
      <x:c r="M292" s="396"/>
    </x:row>
    <x:row r="293">
      <x:c r="A293" s="396"/>
      <x:c r="B293" s="414"/>
      <x:c r="C293" s="396"/>
      <x:c r="D293" s="395"/>
      <x:c r="E293" s="396"/>
      <x:c r="F293" s="396"/>
      <x:c r="G293" s="396"/>
      <x:c r="H293" s="508" t="str">
        <x:f>IF(B293="","",B293-WEEKDAY(B293-2,1)+1)</x:f>
      </x:c>
      <x:c r="I293" s="396"/>
      <x:c r="J293" s="396"/>
      <x:c r="K293" s="396"/>
      <x:c r="L293" s="396"/>
      <x:c r="M293" s="396"/>
    </x:row>
    <x:row r="294">
      <x:c r="A294" s="396"/>
      <x:c r="B294" s="414"/>
      <x:c r="C294" s="396"/>
      <x:c r="D294" s="395"/>
      <x:c r="E294" s="396"/>
      <x:c r="F294" s="396"/>
      <x:c r="G294" s="396"/>
      <x:c r="H294" s="508" t="str">
        <x:f>IF(B294="","",B294-WEEKDAY(B294-2,1)+1)</x:f>
      </x:c>
      <x:c r="I294" s="396"/>
      <x:c r="J294" s="396"/>
      <x:c r="K294" s="396"/>
      <x:c r="L294" s="396"/>
      <x:c r="M294" s="396"/>
    </x:row>
    <x:row r="295">
      <x:c r="A295" s="396"/>
      <x:c r="B295" s="414"/>
      <x:c r="C295" s="396"/>
      <x:c r="D295" s="395"/>
      <x:c r="E295" s="396"/>
      <x:c r="F295" s="396"/>
      <x:c r="G295" s="396"/>
      <x:c r="H295" s="508" t="str">
        <x:f>IF(B295="","",B295-WEEKDAY(B295-2,1)+1)</x:f>
      </x:c>
      <x:c r="I295" s="396"/>
      <x:c r="J295" s="396"/>
      <x:c r="K295" s="396"/>
      <x:c r="L295" s="396"/>
      <x:c r="M295" s="396"/>
    </x:row>
    <x:row r="296">
      <x:c r="A296" s="396"/>
      <x:c r="B296" s="414"/>
      <x:c r="C296" s="396"/>
      <x:c r="D296" s="395"/>
      <x:c r="E296" s="396"/>
      <x:c r="F296" s="396"/>
      <x:c r="G296" s="396"/>
      <x:c r="H296" s="508" t="str">
        <x:f>IF(B296="","",B296-WEEKDAY(B296-2,1)+1)</x:f>
      </x:c>
      <x:c r="I296" s="396"/>
      <x:c r="J296" s="396"/>
      <x:c r="K296" s="396"/>
      <x:c r="L296" s="396"/>
      <x:c r="M296" s="396"/>
    </x:row>
    <x:row r="297">
      <x:c r="A297" s="396"/>
      <x:c r="B297" s="414"/>
      <x:c r="C297" s="396"/>
      <x:c r="D297" s="395"/>
      <x:c r="E297" s="396"/>
      <x:c r="F297" s="396"/>
      <x:c r="G297" s="396"/>
      <x:c r="H297" s="508" t="str">
        <x:f>IF(B297="","",B297-WEEKDAY(B297-2,1)+1)</x:f>
      </x:c>
      <x:c r="I297" s="396"/>
      <x:c r="J297" s="396"/>
      <x:c r="K297" s="396"/>
      <x:c r="L297" s="396"/>
      <x:c r="M297" s="396"/>
    </x:row>
    <x:row r="298">
      <x:c r="A298" s="396"/>
      <x:c r="B298" s="414"/>
      <x:c r="C298" s="396"/>
      <x:c r="D298" s="395"/>
      <x:c r="E298" s="396"/>
      <x:c r="F298" s="396"/>
      <x:c r="G298" s="396"/>
      <x:c r="H298" s="508" t="str">
        <x:f>IF(B298="","",B298-WEEKDAY(B298-2,1)+1)</x:f>
      </x:c>
      <x:c r="I298" s="396"/>
      <x:c r="J298" s="396"/>
      <x:c r="K298" s="396"/>
      <x:c r="L298" s="396"/>
      <x:c r="M298" s="396"/>
    </x:row>
    <x:row r="299">
      <x:c r="A299" s="396"/>
      <x:c r="B299" s="414"/>
      <x:c r="C299" s="396"/>
      <x:c r="D299" s="395"/>
      <x:c r="E299" s="396"/>
      <x:c r="F299" s="396"/>
      <x:c r="G299" s="396"/>
      <x:c r="H299" s="508" t="str">
        <x:f>IF(B299="","",B299-WEEKDAY(B299-2,1)+1)</x:f>
      </x:c>
      <x:c r="I299" s="396"/>
      <x:c r="J299" s="396"/>
      <x:c r="K299" s="396"/>
      <x:c r="L299" s="396"/>
      <x:c r="M299" s="396"/>
    </x:row>
    <x:row r="300">
      <x:c r="A300" s="396"/>
      <x:c r="B300" s="414"/>
      <x:c r="C300" s="396"/>
      <x:c r="D300" s="395"/>
      <x:c r="E300" s="396"/>
      <x:c r="F300" s="396"/>
      <x:c r="G300" s="396"/>
      <x:c r="H300" s="508" t="str">
        <x:f>IF(B300="","",B300-WEEKDAY(B300-2,1)+1)</x:f>
      </x:c>
      <x:c r="I300" s="396"/>
      <x:c r="J300" s="396"/>
      <x:c r="K300" s="396"/>
      <x:c r="L300" s="396"/>
      <x:c r="M300" s="396"/>
    </x:row>
    <x:row r="301">
      <x:c r="A301" s="396"/>
      <x:c r="B301" s="414"/>
      <x:c r="C301" s="396"/>
      <x:c r="D301" s="395"/>
      <x:c r="E301" s="396"/>
      <x:c r="F301" s="396"/>
      <x:c r="G301" s="396"/>
      <x:c r="H301" s="508" t="str">
        <x:f>IF(B301="","",B301-WEEKDAY(B301-2,1)+1)</x:f>
      </x:c>
      <x:c r="I301" s="396"/>
      <x:c r="J301" s="396"/>
      <x:c r="K301" s="396"/>
      <x:c r="L301" s="396"/>
      <x:c r="M301" s="396"/>
    </x:row>
    <x:row r="302">
      <x:c r="A302" s="396"/>
      <x:c r="B302" s="414"/>
      <x:c r="C302" s="396"/>
      <x:c r="D302" s="395"/>
      <x:c r="E302" s="396"/>
      <x:c r="F302" s="396"/>
      <x:c r="G302" s="396"/>
      <x:c r="H302" s="508" t="str">
        <x:f>IF(B302="","",B302-WEEKDAY(B302-2,1)+1)</x:f>
      </x:c>
      <x:c r="I302" s="396"/>
      <x:c r="J302" s="396"/>
      <x:c r="K302" s="396"/>
      <x:c r="L302" s="396"/>
      <x:c r="M302" s="396"/>
    </x:row>
    <x:row r="303">
      <x:c r="A303" s="396"/>
      <x:c r="B303" s="414"/>
      <x:c r="C303" s="396"/>
      <x:c r="D303" s="395"/>
      <x:c r="E303" s="396"/>
      <x:c r="F303" s="396"/>
      <x:c r="G303" s="396"/>
      <x:c r="H303" s="508" t="str">
        <x:f>IF(B303="","",B303-WEEKDAY(B303-2,1)+1)</x:f>
      </x:c>
      <x:c r="I303" s="396"/>
      <x:c r="J303" s="396"/>
      <x:c r="K303" s="396"/>
      <x:c r="L303" s="396"/>
      <x:c r="M303" s="396"/>
    </x:row>
    <x:row r="304">
      <x:c r="A304" s="396"/>
      <x:c r="B304" s="414"/>
      <x:c r="C304" s="396"/>
      <x:c r="D304" s="395"/>
      <x:c r="E304" s="396"/>
      <x:c r="F304" s="396"/>
      <x:c r="G304" s="396"/>
      <x:c r="H304" s="508" t="str">
        <x:f>IF(B304="","",B304-WEEKDAY(B304-2,1)+1)</x:f>
      </x:c>
      <x:c r="I304" s="396"/>
      <x:c r="J304" s="396"/>
      <x:c r="K304" s="396"/>
      <x:c r="L304" s="396"/>
      <x:c r="M304" s="396"/>
    </x:row>
  </x:sheetData>
  <x:mergeCells>
    <x:mergeCell ref="A1:M1"/>
    <x:mergeCell ref="A2:M2"/>
  </x:mergeCells>
  <x:conditionalFormatting sqref="A5:M304">
    <x:cfRule type="expression" dxfId="10" priority="1">
      <x:formula>AND($C5&lt;&gt;"",$G5="Exclude")</x:formula>
    </x:cfRule>
    <x:cfRule type="expression" dxfId="11" priority="2">
      <x:formula>AND($C5&lt;&gt;"",$G5="Transfer / verify")</x:formula>
    </x:cfRule>
  </x:conditionalFormatting>
  <x:conditionalFormatting sqref="G5:G304">
    <x:cfRule type="containsText" dxfId="12" priority="3" operator="containsText" text="Include"/>
  </x:conditionalFormatting>
  <x:conditionalFormatting sqref="M5:M304">
    <x:cfRule type="containsText" dxfId="13" priority="4" operator="containsText" text="Verified"/>
    <x:cfRule type="containsText" dxfId="14" priority="5" operator="containsText" text="Needs verification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CBD5E1"/>
  </x:sheetPr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18" hidden="0" customWidth="1"/>
    <x:col min="2" max="2" width="34" hidden="0" customWidth="1"/>
    <x:col min="3" max="3" width="13" hidden="0" customWidth="1"/>
    <x:col min="4" max="4" width="16" hidden="0" customWidth="1"/>
    <x:col min="5" max="5" width="16" hidden="0" customWidth="1"/>
    <x:col min="6" max="6" width="19" hidden="0" customWidth="1"/>
  </x:cols>
  <x:sheetData>
    <x:row r="1" ht="27" customHeight="1">
      <x:c r="A1" s="443" t="str">
        <x:v>Budget Inputs</x:v>
      </x:c>
      <x:c r="B1" s="443"/>
      <x:c r="C1" s="443"/>
      <x:c r="D1" s="443"/>
      <x:c r="E1" s="443"/>
      <x:c r="F1" s="443"/>
    </x:row>
    <x:row r="2" ht="28" customHeight="1">
      <x:c r="A2" s="377" t="str">
        <x:v>Yellow cells are editable inputs. Blue text = your inputs; black = formulas. Amounts are USD unless marked CAD.</x:v>
      </x:c>
      <x:c r="B2" s="377"/>
      <x:c r="C2" s="377"/>
      <x:c r="D2" s="377"/>
      <x:c r="E2" s="377"/>
      <x:c r="F2" s="377"/>
    </x:row>
    <x:row r="3">
      <x:c r="A3" s="362"/>
      <x:c r="B3" s="362"/>
      <x:c r="C3" s="362"/>
      <x:c r="D3" s="362"/>
      <x:c r="E3" s="362"/>
      <x:c r="F3" s="362"/>
    </x:row>
    <x:row r="4" ht="22" customHeight="1">
      <x:c r="A4" s="339" t="str">
        <x:v>Income</x:v>
      </x:c>
      <x:c r="B4" s="339"/>
      <x:c r="C4" s="339"/>
      <x:c r="D4" s="339"/>
      <x:c r="E4" s="339"/>
      <x:c r="F4" s="339"/>
    </x:row>
    <x:row r="5">
      <x:c r="A5" s="367" t="str">
        <x:v>Income source</x:v>
      </x:c>
      <x:c r="B5" s="368" t="str">
        <x:v>Frequency</x:v>
      </x:c>
      <x:c r="C5" s="368" t="str">
        <x:v>Amount</x:v>
      </x:c>
      <x:c r="D5" s="369" t="str">
        <x:v>Weekly amount</x:v>
      </x:c>
      <x:c r="E5" s="362"/>
      <x:c r="F5" s="362"/>
    </x:row>
    <x:row r="6">
      <x:c r="A6" s="362" t="str">
        <x:v>Kiewit payroll (net)</x:v>
      </x:c>
      <x:c r="B6" s="362" t="str">
        <x:v>Weekly</x:v>
      </x:c>
      <x:c r="C6" s="396" t="n">
        <x:v>1343.37</x:v>
      </x:c>
      <x:c r="D6" s="416" t="n">
        <x:f>C6</x:f>
        <x:v>1343.37</x:v>
      </x:c>
      <x:c r="E6" s="362"/>
      <x:c r="F6" s="362"/>
    </x:row>
    <x:row r="7">
      <x:c r="A7" s="362" t="str">
        <x:v>Wife income (personal safe — Sep 9 total)</x:v>
      </x:c>
      <x:c r="B7" s="362" t="str">
        <x:v>Weekly</x:v>
      </x:c>
      <x:c r="C7" s="396" t="n">
        <x:v>220</x:v>
      </x:c>
      <x:c r="D7" s="416" t="n">
        <x:f>IF(B7="Weekly",C7,C7*12/52)</x:f>
        <x:v>220</x:v>
      </x:c>
      <x:c r="E7" s="362"/>
      <x:c r="F7" s="362"/>
    </x:row>
    <x:row r="8">
      <x:c r="A8" s="417" t="str">
        <x:v>Total net income</x:v>
      </x:c>
      <x:c r="B8" s="417"/>
      <x:c r="C8" s="417"/>
      <x:c r="D8" s="418" t="n">
        <x:f>SUM(D6:D7)</x:f>
        <x:v>1563.37</x:v>
      </x:c>
      <x:c r="E8" s="362"/>
      <x:c r="F8" s="362"/>
    </x:row>
    <x:row r="9">
      <x:c r="A9" s="362"/>
      <x:c r="B9" s="362"/>
      <x:c r="C9" s="362"/>
      <x:c r="D9" s="362"/>
      <x:c r="E9" s="362"/>
      <x:c r="F9" s="362"/>
    </x:row>
    <x:row r="10">
      <x:c r="A10" s="339" t="str">
        <x:v>Known weekly bills and targets</x:v>
      </x:c>
      <x:c r="B10" s="339"/>
      <x:c r="C10" s="339"/>
      <x:c r="D10" s="339"/>
      <x:c r="E10" s="339"/>
      <x:c r="F10" s="339"/>
    </x:row>
    <x:row r="11">
      <x:c r="A11" s="367" t="str">
        <x:v>Category</x:v>
      </x:c>
      <x:c r="B11" s="368" t="str">
        <x:v>Bill / target</x:v>
      </x:c>
      <x:c r="C11" s="368" t="str">
        <x:v>Frequency</x:v>
      </x:c>
      <x:c r="D11" s="368" t="str">
        <x:v>Amount</x:v>
      </x:c>
      <x:c r="E11" s="368" t="str">
        <x:v>Weekly amount</x:v>
      </x:c>
      <x:c r="F11" s="369" t="str">
        <x:v>Status</x:v>
      </x:c>
    </x:row>
    <x:row r="12">
      <x:c r="A12" s="362" t="str">
        <x:v>Housing</x:v>
      </x:c>
      <x:c r="B12" s="362" t="str">
        <x:v>Rent / Pearl Point set-aside</x:v>
      </x:c>
      <x:c r="C12" s="362" t="str">
        <x:v>Weekly</x:v>
      </x:c>
      <x:c r="D12" s="395" t="n">
        <x:v>300</x:v>
      </x:c>
      <x:c r="E12" s="416" t="n">
        <x:f>IF(C12="Weekly",D12,IF(C12="Every 5 weeks",D12/5,D12*12/52))</x:f>
        <x:v>300</x:v>
      </x:c>
      <x:c r="F12" s="362" t="str">
        <x:v>Maximum weekly rent target. Fund only from verified Wells capacity after required actions; record the actual amount in Savings &amp; Debt.</x:v>
      </x:c>
    </x:row>
    <x:row r="13">
      <x:c r="A13" s="362" t="str">
        <x:v>Auto loan</x:v>
      </x:c>
      <x:c r="B13" s="362" t="str">
        <x:v>Genesis G70 loan (CUTX)</x:v>
      </x:c>
      <x:c r="C13" s="362" t="str">
        <x:v>Monthly</x:v>
      </x:c>
      <x:c r="D13" s="395" t="n">
        <x:v>746.47</x:v>
      </x:c>
      <x:c r="E13" s="416" t="n">
        <x:f>IF(C13="Weekly",D13,IF(C13="Every 5 weeks",D13/5,D13*12/52))</x:f>
        <x:v>172.26230769230767</x:v>
      </x:c>
      <x:c r="F13" s="362" t="str">
        <x:v>Confirmed</x:v>
      </x:c>
    </x:row>
    <x:row r="14">
      <x:c r="A14" s="362" t="str">
        <x:v>Utilities</x:v>
      </x:c>
      <x:c r="B14" s="362" t="str">
        <x:v>Direct Energy electric</x:v>
      </x:c>
      <x:c r="C14" s="362" t="str">
        <x:v>Monthly</x:v>
      </x:c>
      <x:c r="D14" s="395" t="n">
        <x:v>65.72</x:v>
      </x:c>
      <x:c r="E14" s="416" t="n">
        <x:f>IF(C14="Weekly",D14,IF(C14="Every 5 weeks",D14/5,D14*12/52))</x:f>
        <x:v>15.166153846153845</x:v>
      </x:c>
      <x:c r="F14" s="362" t="str">
        <x:v>Confirmed</x:v>
      </x:c>
    </x:row>
    <x:row r="15">
      <x:c r="A15" s="362" t="str">
        <x:v>Phone</x:v>
      </x:c>
      <x:c r="B15" s="362" t="str">
        <x:v>AT&amp;T</x:v>
      </x:c>
      <x:c r="C15" s="362" t="str">
        <x:v>Monthly</x:v>
      </x:c>
      <x:c r="D15" s="395" t="n">
        <x:v>65</x:v>
      </x:c>
      <x:c r="E15" s="416" t="n">
        <x:f>IF(C15="Weekly",D15,IF(C15="Every 5 weeks",D15/5,D15*12/52))</x:f>
        <x:v>15</x:v>
      </x:c>
      <x:c r="F15" s="362" t="str">
        <x:v>User-confirmed monthly bill</x:v>
      </x:c>
    </x:row>
    <x:row r="16">
      <x:c r="A16" s="362" t="str">
        <x:v>Internet</x:v>
      </x:c>
      <x:c r="B16" s="362" t="str">
        <x:v>Spectrum</x:v>
      </x:c>
      <x:c r="C16" s="362" t="str">
        <x:v>Monthly</x:v>
      </x:c>
      <x:c r="D16" s="395" t="n">
        <x:v>110.58</x:v>
      </x:c>
      <x:c r="E16" s="416" t="n">
        <x:f>IF(C16="Weekly",D16,IF(C16="Every 5 weeks",D16/5,D16*12/52))</x:f>
        <x:v>25.51846153846154</x:v>
      </x:c>
      <x:c r="F16" s="362" t="str">
        <x:v>Confirmed</x:v>
      </x:c>
    </x:row>
    <x:row r="17">
      <x:c r="A17" s="362" t="str">
        <x:v>Mobile</x:v>
      </x:c>
      <x:c r="B17" s="362" t="str">
        <x:v>Visible</x:v>
      </x:c>
      <x:c r="C17" s="362" t="str">
        <x:v>Monthly</x:v>
      </x:c>
      <x:c r="D17" s="395" t="n">
        <x:v>29</x:v>
      </x:c>
      <x:c r="E17" s="416" t="n">
        <x:f>IF(C17="Weekly",D17,IF(C17="Every 5 weeks",D17/5,D17*12/52))</x:f>
        <x:v>6.6923076923076925</x:v>
      </x:c>
      <x:c r="F17" s="362" t="str">
        <x:v>Observed - confirm</x:v>
      </x:c>
    </x:row>
    <x:row r="18">
      <x:c r="A18" s="362" t="str">
        <x:v>Subscriptions</x:v>
      </x:c>
      <x:c r="B18" s="362" t="str">
        <x:v>Spotify, Amazon Prime, YouTube Premium Lite</x:v>
      </x:c>
      <x:c r="C18" s="362" t="str">
        <x:v>Monthly</x:v>
      </x:c>
      <x:c r="D18" s="395" t="n">
        <x:v>48.78</x:v>
      </x:c>
      <x:c r="E18" s="416" t="n">
        <x:f>IF(C18="Weekly",D18,IF(C18="Every 5 weeks",D18/5,D18*12/52))</x:f>
        <x:v>11.256923076923076</x:v>
      </x:c>
      <x:c r="F18" s="362" t="str">
        <x:v>Max cancelled; includes user-confirmed $11.99 YouTube Premium Lite billed through Apple</x:v>
      </x:c>
    </x:row>
    <x:row r="19">
      <x:c r="A19" s="362" t="str">
        <x:v>Personal</x:v>
      </x:c>
      <x:c r="B19" s="362" t="str">
        <x:v>Invincibles + other discretionary Apple purchases</x:v>
      </x:c>
      <x:c r="C19" s="362" t="str">
        <x:v>Weekly</x:v>
      </x:c>
      <x:c r="D19" s="395" t="n">
        <x:v>50</x:v>
      </x:c>
      <x:c r="E19" s="416" t="n">
        <x:f>IF(C19="Weekly",D19,IF(C19="Every 5 weeks",D19/5,D19*12/52))</x:f>
        <x:v>50</x:v>
      </x:c>
      <x:c r="F19" s="362" t="str">
        <x:v>Budget cap - $50/week; excludes YouTube Premium Lite</x:v>
      </x:c>
    </x:row>
    <x:row r="20">
      <x:c r="A20" s="362" t="str">
        <x:v>PayPal</x:v>
      </x:c>
      <x:c r="B20" s="362" t="str">
        <x:v>PayPal promotional payoff plan</x:v>
      </x:c>
      <x:c r="C20" s="362" t="str">
        <x:v>Weekly</x:v>
      </x:c>
      <x:c r="D20" s="394" t="n">
        <x:f>'Support - Promo Detail'!F12</x:f>
        <x:v>148.616</x:v>
      </x:c>
      <x:c r="E20" s="416" t="n">
        <x:f>D20</x:f>
        <x:v>148.616</x:v>
      </x:c>
      <x:c r="F20" s="362" t="str">
        <x:v>Formula linked below</x:v>
      </x:c>
    </x:row>
    <x:row r="21">
      <x:c r="A21" s="362" t="str">
        <x:v>Student loan</x:v>
      </x:c>
      <x:c r="B21" s="362" t="str">
        <x:v>RBC Canada student loan (CA$80)</x:v>
      </x:c>
      <x:c r="C21" s="362" t="str">
        <x:v>Monthly</x:v>
      </x:c>
      <x:c r="D21" s="394" t="n">
        <x:f>80*$B$39</x:f>
        <x:v>58.4</x:v>
      </x:c>
      <x:c r="E21" s="416" t="n">
        <x:f>IF(C21="Weekly",D21,IF(C21="Every 5 weeks",D21/5,D21*12/52))</x:f>
        <x:v>13.476923076923075</x:v>
      </x:c>
      <x:c r="F21" s="362" t="str">
        <x:v>Converted from CAD at input rate</x:v>
      </x:c>
    </x:row>
    <x:row r="22">
      <x:c r="A22" s="362" t="str">
        <x:v>Insurance</x:v>
      </x:c>
      <x:c r="B22" s="362" t="str">
        <x:v>Life insurance (CA$102.33)</x:v>
      </x:c>
      <x:c r="C22" s="362" t="str">
        <x:v>Monthly</x:v>
      </x:c>
      <x:c r="D22" s="394" t="n">
        <x:f>102.33*$B$39</x:f>
        <x:v>74.70089999999999</x:v>
      </x:c>
      <x:c r="E22" s="416" t="n">
        <x:f>IF(C22="Weekly",D22,IF(C22="Every 5 weeks",D22/5,D22*12/52))</x:f>
        <x:v>17.23866923076923</x:v>
      </x:c>
      <x:c r="F22" s="362" t="str">
        <x:v>Converted from CAD at input rate</x:v>
      </x:c>
    </x:row>
    <x:row r="23">
      <x:c r="A23" s="362" t="str">
        <x:v>Food</x:v>
      </x:c>
      <x:c r="B23" s="362" t="str">
        <x:v>H-E-B groceries</x:v>
      </x:c>
      <x:c r="C23" s="362" t="str">
        <x:v>Monthly</x:v>
      </x:c>
      <x:c r="D23" s="395" t="n">
        <x:v>345.7</x:v>
      </x:c>
      <x:c r="E23" s="416" t="n">
        <x:f>IF(C23="Weekly",D23,IF(C23="Every 5 weeks",D23/5,D23*12/52))</x:f>
        <x:v>79.77692307692307</x:v>
      </x:c>
      <x:c r="F23" s="362" t="str">
        <x:v>Historical average across the supplied Chase statements</x:v>
      </x:c>
    </x:row>
    <x:row r="24">
      <x:c r="A24" s="362" t="str">
        <x:v>Food</x:v>
      </x:c>
      <x:c r="B24" s="362" t="str">
        <x:v>DoorDash</x:v>
      </x:c>
      <x:c r="C24" s="362" t="str">
        <x:v>Weekly</x:v>
      </x:c>
      <x:c r="D24" s="395" t="n">
        <x:v>25</x:v>
      </x:c>
      <x:c r="E24" s="416" t="n">
        <x:f>IF(C24="Weekly",D24,IF(C24="Every 5 weeks",D24/5,D24*12/52))</x:f>
        <x:v>25</x:v>
      </x:c>
      <x:c r="F24" s="362" t="str">
        <x:v>Hard weekly cap; reduced from historical $160/month average</x:v>
      </x:c>
    </x:row>
    <x:row r="25">
      <x:c r="A25" s="362" t="str">
        <x:v>Transport</x:v>
      </x:c>
      <x:c r="B25" s="362" t="str">
        <x:v>Citi / Chase fuel</x:v>
      </x:c>
      <x:c r="C25" s="362" t="str">
        <x:v>Monthly</x:v>
      </x:c>
      <x:c r="D25" s="395" t="n">
        <x:v>350</x:v>
      </x:c>
      <x:c r="E25" s="416" t="n">
        <x:f>IF(C25="Weekly",D25,IF(C25="Every 5 weeks",D25/5,D25*12/52))</x:f>
        <x:v>80.76923076923077</x:v>
      </x:c>
      <x:c r="F25" s="362" t="str">
        <x:v>Citi statement baseline; includes PCC and Exxon</x:v>
      </x:c>
    </x:row>
    <x:row r="26">
      <x:c r="A26" s="362" t="str">
        <x:v>Pet</x:v>
      </x:c>
      <x:c r="B26" s="362" t="str">
        <x:v>Grooming, BudgetPetCare, routine costs + pet insurance</x:v>
      </x:c>
      <x:c r="C26" s="362" t="str">
        <x:v>Monthly</x:v>
      </x:c>
      <x:c r="D26" s="395" t="n">
        <x:v>205.75</x:v>
      </x:c>
      <x:c r="E26" s="416" t="n">
        <x:f>IF(C26="Weekly",D26,IF(C26="Every 5 weeks",D26/5,D26*12/52))</x:f>
        <x:v>47.48076923076923</x:v>
      </x:c>
      <x:c r="F26" s="362" t="str">
        <x:v>Grooming ~$95.33/mo + BudgetPetCare $12.15/mo + routine costs $50/mo + Nationwide pet insurance $48.27/mo</x:v>
      </x:c>
    </x:row>
    <x:row r="27">
      <x:c r="A27" s="362" t="str">
        <x:v>Savings</x:v>
      </x:c>
      <x:c r="B27" s="362" t="str">
        <x:v>Fidelity + PayPal savings buckets</x:v>
      </x:c>
      <x:c r="C27" s="362" t="str">
        <x:v>Weekly</x:v>
      </x:c>
      <x:c r="D27" s="394" t="n">
        <x:f>'5. Savings &amp; Debt'!B17</x:f>
        <x:v>403.36</x:v>
      </x:c>
      <x:c r="E27" s="416" t="n">
        <x:f>IF(C27="Weekly",D27,IF(C27="Every 5 weeks",D27/5,D27*12/52))</x:f>
        <x:v>403.36</x:v>
      </x:c>
      <x:c r="F27" s="362" t="str">
        <x:v>$75 Fidelity plus automatic PayPal savings for cruise, tuition, and future expenses</x:v>
      </x:c>
    </x:row>
    <x:row r="28">
      <x:c r="A28" s="362" t="str">
        <x:v>Coffee</x:v>
      </x:c>
      <x:c r="B28" s="362" t="str">
        <x:v>Starbucks</x:v>
      </x:c>
      <x:c r="C28" s="362" t="str">
        <x:v>Weekly</x:v>
      </x:c>
      <x:c r="D28" s="395" t="n">
        <x:v>30</x:v>
      </x:c>
      <x:c r="E28" s="416" t="n">
        <x:f>IF(C28="Weekly",D28,IF(C28="Every 5 weeks",D28/5,D28*12/52))</x:f>
        <x:v>30</x:v>
      </x:c>
      <x:c r="F28" s="362" t="str">
        <x:v>Reduction target; all three Chase periods averaged $52.62/week</x:v>
      </x:c>
    </x:row>
    <x:row r="29">
      <x:c r="A29" s="362" t="str">
        <x:v>Snacks</x:v>
      </x:c>
      <x:c r="B29" s="362" t="str">
        <x:v>365 Market / work snacks</x:v>
      </x:c>
      <x:c r="C29" s="362" t="str">
        <x:v>Weekly</x:v>
      </x:c>
      <x:c r="D29" s="395" t="n">
        <x:v>10</x:v>
      </x:c>
      <x:c r="E29" s="416" t="n">
        <x:f>IF(C29="Weekly",D29,IF(C29="Every 5 weeks",D29/5,D29*12/52))</x:f>
        <x:v>10</x:v>
      </x:c>
      <x:c r="F29" s="362" t="str">
        <x:v>Conservative target; historical Chase average was $18.71/week</x:v>
      </x:c>
    </x:row>
    <x:row r="30">
      <x:c r="A30" s="362" t="str">
        <x:v>Shopping</x:v>
      </x:c>
      <x:c r="B30" s="362" t="str">
        <x:v>Shopping, personal care &amp; car washes</x:v>
      </x:c>
      <x:c r="C30" s="362" t="str">
        <x:v>Weekly</x:v>
      </x:c>
      <x:c r="D30" s="395" t="n">
        <x:v>50</x:v>
      </x:c>
      <x:c r="E30" s="416" t="n">
        <x:f>IF(C30="Weekly",D30,IF(C30="Every 5 weeks",D30/5,D30*12/52))</x:f>
        <x:v>50</x:v>
      </x:c>
      <x:c r="F30" s="362" t="str">
        <x:v>Target/Walmart/Old Navy/haircuts/car washes; conservative target</x:v>
      </x:c>
    </x:row>
    <x:row r="31">
      <x:c r="A31" s="362" t="str">
        <x:v>Vapes</x:v>
      </x:c>
      <x:c r="B31" s="362" t="str">
        <x:v>Vapes</x:v>
      </x:c>
      <x:c r="C31" s="362" t="str">
        <x:v>Weekly</x:v>
      </x:c>
      <x:c r="D31" s="395" t="n">
        <x:v>30</x:v>
      </x:c>
      <x:c r="E31" s="416" t="n">
        <x:f>IF(C31="Weekly",D31,IF(C31="Every 5 weeks",D31/5,D31*12/52))</x:f>
        <x:v>30</x:v>
      </x:c>
      <x:c r="F31" s="362" t="str">
        <x:v>Hard weekly cap</x:v>
      </x:c>
    </x:row>
    <x:row r="32">
      <x:c r="A32" s="417" t="str">
        <x:v>Total weekly plan</x:v>
      </x:c>
      <x:c r="B32" s="417"/>
      <x:c r="C32" s="417"/>
      <x:c r="D32" s="418"/>
      <x:c r="E32" s="418" t="n">
        <x:f>SUM(E12:E31)</x:f>
        <x:v>1531.6146692307693</x:v>
      </x:c>
      <x:c r="F32" s="417"/>
    </x:row>
    <x:row r="33">
      <x:c r="A33" s="362"/>
      <x:c r="B33" s="362"/>
      <x:c r="C33" s="362"/>
      <x:c r="D33" s="416"/>
      <x:c r="E33" s="416"/>
      <x:c r="F33" s="362"/>
    </x:row>
    <x:row r="34">
      <x:c r="A34" s="436" t="str">
        <x:v>Amount left after plan</x:v>
      </x:c>
      <x:c r="B34" s="438"/>
      <x:c r="C34" s="438"/>
      <x:c r="D34" s="437"/>
      <x:c r="E34" s="437" t="n">
        <x:f>D8-E32</x:f>
        <x:v>31.755330769230568</x:v>
      </x:c>
      <x:c r="F34" s="439"/>
    </x:row>
    <x:row r="35">
      <x:c r="A35" s="362"/>
      <x:c r="B35" s="362"/>
      <x:c r="C35" s="362"/>
      <x:c r="D35" s="362"/>
      <x:c r="E35" s="362"/>
      <x:c r="F35" s="362"/>
    </x:row>
    <x:row r="36">
      <x:c r="A36" s="362"/>
      <x:c r="B36" s="362"/>
      <x:c r="C36" s="362"/>
      <x:c r="D36" s="362"/>
      <x:c r="E36" s="362"/>
      <x:c r="F36" s="362"/>
    </x:row>
    <x:row r="37">
      <x:c r="A37" s="362"/>
      <x:c r="B37" s="362"/>
      <x:c r="C37" s="362"/>
      <x:c r="D37" s="362"/>
      <x:c r="E37" s="362"/>
      <x:c r="F37" s="362"/>
    </x:row>
    <x:row r="38">
      <x:c r="A38" s="362" t="str">
        <x:v>CAD conversion reference</x:v>
      </x:c>
      <x:c r="B38" s="362"/>
      <x:c r="C38" s="362"/>
      <x:c r="D38" s="362"/>
      <x:c r="E38" s="362"/>
      <x:c r="F38" s="362"/>
    </x:row>
    <x:row r="39">
      <x:c r="A39" s="362" t="str">
        <x:v>CAD-to-USD rate</x:v>
      </x:c>
      <x:c r="B39" s="512" t="n">
        <x:v>0.73</x:v>
      </x:c>
      <x:c r="C39" s="362"/>
      <x:c r="D39" s="362"/>
      <x:c r="E39" s="362"/>
      <x:c r="F39" s="362"/>
    </x:row>
    <x:row r="40">
      <x:c r="A40" s="362" t="str">
        <x:v>Original CAD bills (monthly)</x:v>
      </x:c>
      <x:c r="B40" s="513" t="n">
        <x:v>182.33</x:v>
      </x:c>
      <x:c r="C40" s="416" t="n">
        <x:f>SUM(E21:E22)</x:f>
        <x:v>30.715592307692305</x:v>
      </x:c>
      <x:c r="D40" s="362"/>
      <x:c r="E40" s="362"/>
      <x:c r="F40" s="362"/>
    </x:row>
    <x:row r="41">
      <x:c r="A41" s="362" t="str">
        <x:v>Weekly plan including converted CAD items</x:v>
      </x:c>
      <x:c r="B41" s="362"/>
      <x:c r="C41" s="416" t="n">
        <x:f>E32</x:f>
        <x:v>1531.6146692307693</x:v>
      </x:c>
      <x:c r="D41" s="362"/>
      <x:c r="E41" s="362"/>
      <x:c r="F41" s="362"/>
    </x:row>
  </x:sheetData>
  <x:mergeCells>
    <x:mergeCell ref="A1:F1"/>
    <x:mergeCell ref="A2:F2"/>
    <x:mergeCell ref="A4:F4"/>
    <x:mergeCell ref="A10:F10"/>
  </x:mergeCells>
  <x:conditionalFormatting sqref="E34:E34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CBD5E1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16" hidden="0" customWidth="1"/>
    <x:col min="4" max="4" width="20" hidden="0" customWidth="1"/>
    <x:col min="5" max="5" width="28" hidden="0" customWidth="1"/>
    <x:col min="6" max="6" width="31" hidden="0" customWidth="1"/>
    <x:col min="7" max="7" width="32" hidden="0" customWidth="1"/>
    <x:col min="8" max="8" width="52" hidden="0" customWidth="1"/>
  </x:cols>
  <x:sheetData>
    <x:row r="1" ht="27" customHeight="1">
      <x:c r="A1" s="495" t="str">
        <x:v>Funding &amp; Due-Date Detail</x:v>
      </x:c>
      <x:c r="B1" s="495"/>
      <x:c r="C1" s="495"/>
      <x:c r="D1" s="495"/>
      <x:c r="E1" s="495"/>
      <x:c r="F1" s="495"/>
      <x:c r="G1" s="495"/>
      <x:c r="H1" s="495"/>
    </x:row>
    <x:row r="2" ht="28" customHeight="1">
      <x:c r="A2" s="377" t="str">
        <x:v>This is the bridge between the weekly budget and Tuesday payments. A reserve transfer is not new spending. Keep future-dated reserves in Wealthfront; move money to Wells only ahead of a Wells autopay or card payoff.</x:v>
      </x:c>
      <x:c r="B2" s="377"/>
      <x:c r="C2" s="377"/>
      <x:c r="D2" s="377"/>
      <x:c r="E2" s="377"/>
      <x:c r="F2" s="377"/>
      <x:c r="G2" s="377"/>
      <x:c r="H2" s="377"/>
    </x:row>
    <x:row r="3">
      <x:c r="A3" s="362"/>
      <x:c r="B3" s="362"/>
      <x:c r="C3" s="362"/>
      <x:c r="D3" s="362"/>
      <x:c r="E3" s="362"/>
      <x:c r="F3" s="362"/>
      <x:c r="G3" s="362"/>
      <x:c r="H3" s="362"/>
    </x:row>
    <x:row r="4" ht="28" customHeight="1">
      <x:c r="A4" s="367" t="str">
        <x:v>Category</x:v>
      </x:c>
      <x:c r="B4" s="368" t="str">
        <x:v>Bill / reserve</x:v>
      </x:c>
      <x:c r="C4" s="368" t="str">
        <x:v>Weekly funding</x:v>
      </x:c>
      <x:c r="D4" s="368" t="str">
        <x:v>Next due / action</x:v>
      </x:c>
      <x:c r="E4" s="368" t="str">
        <x:v>Where cash lives</x:v>
      </x:c>
      <x:c r="F4" s="368" t="str">
        <x:v>Payment route</x:v>
      </x:c>
      <x:c r="G4" s="368" t="str">
        <x:v>This Tuesday</x:v>
      </x:c>
      <x:c r="H4" s="369" t="str">
        <x:v>Note</x:v>
      </x:c>
    </x:row>
    <x:row r="5" ht="32" customHeight="1">
      <x:c r="A5" s="362" t="str">
        <x:v>Housing</x:v>
      </x:c>
      <x:c r="B5" s="362" t="str">
        <x:v>Rent — next month</x:v>
      </x:c>
      <x:c r="C5" s="394" t="n">
        <x:f>'2. Tuesday Review'!D13</x:f>
        <x:v>178.49169230769235</x:v>
      </x:c>
      <x:c r="D5" s="414" t="n">
        <x:v>46296</x:v>
      </x:c>
      <x:c r="E5" s="362" t="str">
        <x:v>Wealthfront rent bucket</x:v>
      </x:c>
      <x:c r="F5" s="362" t="str">
        <x:v>Wealthfront to rent payment</x:v>
      </x:c>
      <x:c r="G5" s="362" t="str">
        <x:v>Fund only Wells capacity, up to $300</x:v>
      </x:c>
      <x:c r="H5" s="362" t="str">
        <x:v>Track the actual Tuesday contribution in Savings &amp; Debt. Do not assume a catch-up contribution is feasible.</x:v>
      </x:c>
    </x:row>
    <x:row r="6" ht="32" customHeight="1">
      <x:c r="A6" s="362" t="str">
        <x:v>Auto loan</x:v>
      </x:c>
      <x:c r="B6" s="362" t="str">
        <x:v>Genesis G70 / CUTX</x:v>
      </x:c>
      <x:c r="C6" s="394" t="n">
        <x:f>'Support - Budget Inputs'!E13</x:f>
        <x:v>172.26230769230767</x:v>
      </x:c>
      <x:c r="D6" s="414" t="n">
        <x:v>46292</x:v>
      </x:c>
      <x:c r="E6" s="362" t="str">
        <x:v>Wealthfront car reserve</x:v>
      </x:c>
      <x:c r="F6" s="362" t="str">
        <x:v>Wealthfront to CUTX on the 27th</x:v>
      </x:c>
      <x:c r="G6" s="362" t="str">
        <x:v>Set aside the displayed weekly amount</x:v>
      </x:c>
      <x:c r="H6" s="362" t="str">
        <x:v>Pay the exact $746.47 monthly amount. Do not reduce a direct weekly payment to $172.26 unless the reserve already bridges four-Tuesday months</x:v>
      </x:c>
    </x:row>
    <x:row r="7" ht="32" customHeight="1">
      <x:c r="A7" s="362" t="str">
        <x:v>PayPal promo</x:v>
      </x:c>
      <x:c r="B7" s="362" t="str">
        <x:v>October deferred-interest payoff</x:v>
      </x:c>
      <x:c r="C7" s="394" t="n">
        <x:f>'Support - Budget Inputs'!E20</x:f>
        <x:v>148.616</x:v>
      </x:c>
      <x:c r="D7" s="414" t="n">
        <x:v>46305</x:v>
      </x:c>
      <x:c r="E7" s="362" t="str">
        <x:v>Wells until paid</x:v>
      </x:c>
      <x:c r="F7" s="362" t="str">
        <x:v>Wells to PayPal Credit</x:v>
      </x:c>
      <x:c r="G7" s="362" t="str">
        <x:v>Pay scheduled promo amount</x:v>
      </x:c>
      <x:c r="H7" s="362" t="str">
        <x:v>Funded separately from purchases so deferred interest is avoided</x:v>
      </x:c>
    </x:row>
    <x:row r="8" ht="32" customHeight="1">
      <x:c r="A8" s="362" t="str">
        <x:v>Phone</x:v>
      </x:c>
      <x:c r="B8" s="362" t="str">
        <x:v>AT&amp;T wireless</x:v>
      </x:c>
      <x:c r="C8" s="394" t="n">
        <x:f>'Support - Budget Inputs'!E15</x:f>
        <x:v>15</x:v>
      </x:c>
      <x:c r="D8" s="414" t="n">
        <x:v>46281</x:v>
      </x:c>
      <x:c r="E8" s="362" t="str">
        <x:v>Wealthfront AT&amp;T reserve</x:v>
      </x:c>
      <x:c r="F8" s="362" t="str">
        <x:v>Wealthfront to Wells; Wells AutoPay</x:v>
      </x:c>
      <x:c r="G8" s="362" t="str">
        <x:v>Reserve this cycle's $88.59</x:v>
      </x:c>
      <x:c r="H8" s="362" t="str">
        <x:v>Normal baseline remains $65/month; this cycle includes roaming</x:v>
      </x:c>
    </x:row>
    <x:row r="9" ht="32" customHeight="1">
      <x:c r="A9" s="362" t="str">
        <x:v>Student loan</x:v>
      </x:c>
      <x:c r="B9" s="362" t="str">
        <x:v>RBC Canada student loan</x:v>
      </x:c>
      <x:c r="C9" s="394" t="n">
        <x:f>'Support - Budget Inputs'!E21</x:f>
        <x:v>13.476923076923075</x:v>
      </x:c>
      <x:c r="D9" s="414" t="n">
        <x:v>46295</x:v>
      </x:c>
      <x:c r="E9" s="362" t="str">
        <x:v>Wealthfront Canada-bills reserve</x:v>
      </x:c>
      <x:c r="F9" s="362" t="str">
        <x:v>Wealthfront to Wise to RBC</x:v>
      </x:c>
      <x:c r="G9" s="362" t="str">
        <x:v>Continue weekly reserve</x:v>
      </x:c>
      <x:c r="H9" s="362" t="str">
        <x:v>Debit occurs on the last day of each month; use Wise lead time</x:v>
      </x:c>
    </x:row>
    <x:row r="10" ht="32" customHeight="1">
      <x:c r="A10" s="362" t="str">
        <x:v>Insurance</x:v>
      </x:c>
      <x:c r="B10" s="362" t="str">
        <x:v>Life insurance</x:v>
      </x:c>
      <x:c r="C10" s="394" t="n">
        <x:f>'Support - Budget Inputs'!E22</x:f>
        <x:v>17.23866923076923</x:v>
      </x:c>
      <x:c r="D10" s="414" t="n">
        <x:v>46292</x:v>
      </x:c>
      <x:c r="E10" s="362" t="str">
        <x:v>Wealthfront Canada-bills reserve</x:v>
      </x:c>
      <x:c r="F10" s="362" t="str">
        <x:v>Wealthfront to Wise to RBC</x:v>
      </x:c>
      <x:c r="G10" s="362" t="str">
        <x:v>Continue weekly reserve</x:v>
      </x:c>
      <x:c r="H10" s="362" t="str">
        <x:v>Debit occurs on the 27th; use Wise lead time</x:v>
      </x:c>
    </x:row>
    <x:row r="11" ht="32" customHeight="1">
      <x:c r="A11" s="362" t="str">
        <x:v>Pet</x:v>
      </x:c>
      <x:c r="B11" s="362" t="str">
        <x:v>Nationwide insurance + BudgetPetCare + grooming</x:v>
      </x:c>
      <x:c r="C11" s="394" t="n">
        <x:f>'Support - Budget Inputs'!E26</x:f>
        <x:v>47.48076923076923</x:v>
      </x:c>
      <x:c r="D11" s="414" t="n">
        <x:v>46311</x:v>
      </x:c>
      <x:c r="E11" s="362" t="str">
        <x:v>Wealthfront pet reserve</x:v>
      </x:c>
      <x:c r="F11" s="362" t="str">
        <x:v>Card / scheduled order</x:v>
      </x:c>
      <x:c r="G11" s="362" t="str">
        <x:v>No separate transfer unless order is imminent</x:v>
      </x:c>
      <x:c r="H11" s="362" t="str">
        <x:v>BudgetPetCare expected Oct. 16; grooming cadence is every five weeks</x:v>
      </x:c>
    </x:row>
    <x:row r="12" ht="32" customHeight="1">
      <x:c r="A12" s="362" t="str">
        <x:v>Card-funded spending</x:v>
      </x:c>
      <x:c r="B12" s="362" t="str">
        <x:v>Weekly Scorecard categories</x:v>
      </x:c>
      <x:c r="C12" s="394" t="n">
        <x:f>'3. This Week'!B23</x:f>
        <x:v>476.6607692307693</x:v>
      </x:c>
      <x:c r="D12" s="362" t="str">
        <x:v>Every Tuesday — next card payoff</x:v>
      </x:c>
      <x:c r="E12" s="362" t="str">
        <x:v>Wells available cash until card payoff</x:v>
      </x:c>
      <x:c r="F12" s="362" t="str">
        <x:v>Chase / Citi / Prime then weekly payoff</x:v>
      </x:c>
      <x:c r="G12" s="362" t="str">
        <x:v>Spend only within Scorecard targets</x:v>
      </x:c>
      <x:c r="H12" s="362" t="str">
        <x:v>Do not create a duplicate reserve for items charged to a card and paid next Tuesday</x:v>
      </x:c>
    </x:row>
    <x:row r="13" ht="32" customHeight="1">
      <x:c r="A13" s="362" t="str">
        <x:v>Education</x:v>
      </x:c>
      <x:c r="B13" s="362" t="str">
        <x:v>Del Mar tuition savings</x:v>
      </x:c>
      <x:c r="C13" s="394" t="n">
        <x:f>'5. Savings &amp; Debt'!B15</x:f>
        <x:v>193.36</x:v>
      </x:c>
      <x:c r="D13" s="362" t="str">
        <x:v>Every Tuesday</x:v>
      </x:c>
      <x:c r="E13" s="362" t="str">
        <x:v>PayPal savings</x:v>
      </x:c>
      <x:c r="F13" s="362" t="str">
        <x:v>Automatic PayPal savings transfer</x:v>
      </x:c>
      <x:c r="G13" s="362" t="str">
        <x:v>No manual action</x:v>
      </x:c>
      <x:c r="H13" s="362" t="str">
        <x:v>New automated weekly tuition bucket; cumulative amount is on Savings &amp; Debt</x:v>
      </x:c>
    </x:row>
    <x:row r="14" ht="32" customHeight="1">
      <x:c r="A14" s="362" t="str">
        <x:v>Future expenses</x:v>
      </x:c>
      <x:c r="B14" s="362" t="str">
        <x:v>PayPal future-expenses fund</x:v>
      </x:c>
      <x:c r="C14" s="394" t="n">
        <x:f>'5. Savings &amp; Debt'!B16</x:f>
        <x:v>50</x:v>
      </x:c>
      <x:c r="D14" s="362" t="str">
        <x:v>Every Tuesday</x:v>
      </x:c>
      <x:c r="E14" s="362" t="str">
        <x:v>PayPal savings</x:v>
      </x:c>
      <x:c r="F14" s="362" t="str">
        <x:v>Automatic PayPal savings transfer</x:v>
      </x:c>
      <x:c r="G14" s="362" t="str">
        <x:v>No manual action</x:v>
      </x:c>
      <x:c r="H14" s="362" t="str">
        <x:v>New automated weekly future-expenses bucket; cumulative amount is on Savings &amp; Debt</x:v>
      </x:c>
    </x:row>
    <x:row r="15">
      <x:c r="A15" s="362"/>
      <x:c r="B15" s="362"/>
      <x:c r="C15" s="362"/>
      <x:c r="D15" s="362"/>
      <x:c r="E15" s="362"/>
      <x:c r="F15" s="362"/>
      <x:c r="G15" s="362"/>
      <x:c r="H15" s="362"/>
    </x:row>
    <x:row r="16">
      <x:c r="A16" s="339" t="str">
        <x:v>Archived payment log — Sep 2</x:v>
      </x:c>
      <x:c r="B16" s="339"/>
      <x:c r="C16" s="339"/>
      <x:c r="D16" s="339"/>
      <x:c r="E16" s="339"/>
      <x:c r="F16" s="339"/>
      <x:c r="G16" s="339"/>
      <x:c r="H16" s="339"/>
    </x:row>
    <x:row r="17">
      <x:c r="A17" s="362"/>
      <x:c r="B17" s="362"/>
      <x:c r="C17" s="362"/>
      <x:c r="D17" s="362"/>
      <x:c r="E17" s="362"/>
      <x:c r="F17" s="362"/>
      <x:c r="G17" s="362"/>
      <x:c r="H17" s="362"/>
    </x:row>
    <x:row r="18">
      <x:c r="A18" s="367" t="str">
        <x:v>Type</x:v>
      </x:c>
      <x:c r="B18" s="368" t="str">
        <x:v>Payment or transfer</x:v>
      </x:c>
      <x:c r="C18" s="368" t="str">
        <x:v>Basis</x:v>
      </x:c>
      <x:c r="D18" s="368" t="str">
        <x:v>Planned</x:v>
      </x:c>
      <x:c r="E18" s="368" t="str">
        <x:v>Completed</x:v>
      </x:c>
      <x:c r="F18" s="368" t="str">
        <x:v>Status</x:v>
      </x:c>
      <x:c r="G18" s="369" t="str">
        <x:v>Confirmation</x:v>
      </x:c>
      <x:c r="H18" s="362"/>
    </x:row>
    <x:row r="19" ht="24" customHeight="1">
      <x:c r="A19" s="362" t="str">
        <x:v>Card payment</x:v>
      </x:c>
      <x:c r="B19" s="362" t="str">
        <x:v>Chase Sapphire</x:v>
      </x:c>
      <x:c r="C19" s="362" t="str">
        <x:v>Balance at Sep. 2 review</x:v>
      </x:c>
      <x:c r="D19" s="416" t="n">
        <x:v>72.61</x:v>
      </x:c>
      <x:c r="E19" s="416" t="n">
        <x:v>72.61</x:v>
      </x:c>
      <x:c r="F19" s="362" t="str">
        <x:v>✓ Done</x:v>
      </x:c>
      <x:c r="G19" s="362" t="str">
        <x:v>Paid Sep. 2</x:v>
      </x:c>
      <x:c r="H19" s="362"/>
    </x:row>
    <x:row r="20" ht="24" customHeight="1">
      <x:c r="A20" s="362" t="str">
        <x:v>Card payment</x:v>
      </x:c>
      <x:c r="B20" s="362" t="str">
        <x:v>Citi card</x:v>
      </x:c>
      <x:c r="C20" s="362" t="str">
        <x:v>Balance at Sep. 2 review</x:v>
      </x:c>
      <x:c r="D20" s="416" t="n">
        <x:v>79.46</x:v>
      </x:c>
      <x:c r="E20" s="416" t="n">
        <x:v>79.46</x:v>
      </x:c>
      <x:c r="F20" s="362" t="str">
        <x:v>✓ Done</x:v>
      </x:c>
      <x:c r="G20" s="362" t="str">
        <x:v>Paid Sep. 2</x:v>
      </x:c>
      <x:c r="H20" s="362"/>
    </x:row>
    <x:row r="21" ht="24" customHeight="1">
      <x:c r="A21" s="362" t="str">
        <x:v>Card payment</x:v>
      </x:c>
      <x:c r="B21" s="362" t="str">
        <x:v>Prime Visa</x:v>
      </x:c>
      <x:c r="C21" s="362" t="str">
        <x:v>No balance due</x:v>
      </x:c>
      <x:c r="D21" s="416" t="n">
        <x:v>0</x:v>
      </x:c>
      <x:c r="E21" s="416" t="n">
        <x:v>0</x:v>
      </x:c>
      <x:c r="F21" s="362" t="str">
        <x:v>✓ Done</x:v>
      </x:c>
      <x:c r="G21" s="362" t="str">
        <x:v>Not due</x:v>
      </x:c>
      <x:c r="H21" s="362"/>
    </x:row>
    <x:row r="22" ht="24" customHeight="1">
      <x:c r="A22" s="362" t="str">
        <x:v>Debt payment</x:v>
      </x:c>
      <x:c r="B22" s="362" t="str">
        <x:v>PayPal promotional payoff</x:v>
      </x:c>
      <x:c r="C22" s="362" t="str">
        <x:v>Weekly promo payoff</x:v>
      </x:c>
      <x:c r="D22" s="416" t="n">
        <x:v>148.65</x:v>
      </x:c>
      <x:c r="E22" s="416" t="n">
        <x:v>148.65</x:v>
      </x:c>
      <x:c r="F22" s="362" t="str">
        <x:v>✓ Done</x:v>
      </x:c>
      <x:c r="G22" s="362" t="str">
        <x:v>Paid Sep. 2</x:v>
      </x:c>
      <x:c r="H22" s="362"/>
    </x:row>
    <x:row r="23" ht="24" customHeight="1">
      <x:c r="A23" s="362" t="str">
        <x:v>Transfer</x:v>
      </x:c>
      <x:c r="B23" s="362" t="str">
        <x:v>Rent fund — next month</x:v>
      </x:c>
      <x:c r="C23" s="362" t="str">
        <x:v>Rent-payment Tuesday</x:v>
      </x:c>
      <x:c r="D23" s="416" t="n">
        <x:v>0</x:v>
      </x:c>
      <x:c r="E23" s="416" t="n">
        <x:v>0</x:v>
      </x:c>
      <x:c r="F23" s="362" t="str">
        <x:v>✓ Done</x:v>
      </x:c>
      <x:c r="G23" s="362" t="str">
        <x:v>No deposit on rent-payment Tuesday</x:v>
      </x:c>
      <x:c r="H23" s="362"/>
    </x:row>
    <x:row r="24" ht="24" customHeight="1">
      <x:c r="A24" s="362" t="str">
        <x:v>Rent payment</x:v>
      </x:c>
      <x:c r="B24" s="362" t="str">
        <x:v>September rent — current month</x:v>
      </x:c>
      <x:c r="C24" s="362" t="str">
        <x:v>Due Sep. 1</x:v>
      </x:c>
      <x:c r="D24" s="416" t="n">
        <x:v>1169.46</x:v>
      </x:c>
      <x:c r="E24" s="416" t="n">
        <x:v>1169.46</x:v>
      </x:c>
      <x:c r="F24" s="362" t="str">
        <x:v>✓ Done</x:v>
      </x:c>
      <x:c r="G24" s="362" t="str">
        <x:v>Paid from Wells after Wealthfront transfer</x:v>
      </x:c>
      <x:c r="H24" s="362"/>
    </x:row>
    <x:row r="25" ht="24" customHeight="1">
      <x:c r="A25" s="362" t="str">
        <x:v>Automatic</x:v>
      </x:c>
      <x:c r="B25" s="362" t="str">
        <x:v>Fidelity 401(k)</x:v>
      </x:c>
      <x:c r="C25" s="362" t="str">
        <x:v>Weekly automatic transfer</x:v>
      </x:c>
      <x:c r="D25" s="416" t="n">
        <x:v>75</x:v>
      </x:c>
      <x:c r="E25" s="416" t="n">
        <x:v>75</x:v>
      </x:c>
      <x:c r="F25" s="362" t="str">
        <x:v>✓ Done</x:v>
      </x:c>
      <x:c r="G25" s="362" t="str">
        <x:v>Confirmed at later review</x:v>
      </x:c>
      <x:c r="H25" s="362"/>
    </x:row>
    <x:row r="26" ht="24" customHeight="1">
      <x:c r="A26" s="362" t="str">
        <x:v>Automatic</x:v>
      </x:c>
      <x:c r="B26" s="362" t="str">
        <x:v>PayPal cruise savings</x:v>
      </x:c>
      <x:c r="C26" s="362" t="str">
        <x:v>Weekly automatic transfer</x:v>
      </x:c>
      <x:c r="D26" s="416" t="n">
        <x:v>85</x:v>
      </x:c>
      <x:c r="E26" s="416" t="n">
        <x:v>85</x:v>
      </x:c>
      <x:c r="F26" s="362" t="str">
        <x:v>✓ Done</x:v>
      </x:c>
      <x:c r="G26" s="362" t="str">
        <x:v>Confirmed at later review</x:v>
      </x:c>
      <x:c r="H26" s="362"/>
    </x:row>
    <x:row r="27" ht="24" customHeight="1">
      <x:c r="A27" s="362" t="str">
        <x:v>Automatic</x:v>
      </x:c>
      <x:c r="B27" s="362" t="str">
        <x:v>PayPal tuition savings</x:v>
      </x:c>
      <x:c r="C27" s="362" t="str">
        <x:v>Weekly automatic transfer</x:v>
      </x:c>
      <x:c r="D27" s="416" t="n">
        <x:v>193.36</x:v>
      </x:c>
      <x:c r="E27" s="416" t="n">
        <x:v>193.36</x:v>
      </x:c>
      <x:c r="F27" s="362" t="str">
        <x:v>✓ Done</x:v>
      </x:c>
      <x:c r="G27" s="362" t="str">
        <x:v>Confirmed at later review</x:v>
      </x:c>
      <x:c r="H27" s="362"/>
    </x:row>
    <x:row r="28" ht="24" customHeight="1">
      <x:c r="A28" s="362" t="str">
        <x:v>Automatic</x:v>
      </x:c>
      <x:c r="B28" s="362" t="str">
        <x:v>PayPal future-expenses savings</x:v>
      </x:c>
      <x:c r="C28" s="362" t="str">
        <x:v>Weekly automatic transfer</x:v>
      </x:c>
      <x:c r="D28" s="416" t="n">
        <x:v>50</x:v>
      </x:c>
      <x:c r="E28" s="416" t="n">
        <x:v>50</x:v>
      </x:c>
      <x:c r="F28" s="362" t="str">
        <x:v>✓ Done</x:v>
      </x:c>
      <x:c r="G28" s="362" t="str">
        <x:v>Confirmed at later review</x:v>
      </x:c>
      <x:c r="H28" s="362"/>
    </x:row>
    <x:row r="29" ht="24" customHeight="1">
      <x:c r="A29" s="362" t="str">
        <x:v>Transfer</x:v>
      </x:c>
      <x:c r="B29" s="362" t="str">
        <x:v>Car fund / CUTX</x:v>
      </x:c>
      <x:c r="C29" s="362" t="str">
        <x:v>Weekly reserve funding</x:v>
      </x:c>
      <x:c r="D29" s="416" t="n">
        <x:v>172.26230769230767</x:v>
      </x:c>
      <x:c r="E29" s="416" t="n">
        <x:v>172.26230769230767</x:v>
      </x:c>
      <x:c r="F29" s="362" t="str">
        <x:v>✓ Done</x:v>
      </x:c>
      <x:c r="G29" s="362" t="str">
        <x:v>Reserve funding completed</x:v>
      </x:c>
      <x:c r="H29" s="362"/>
    </x:row>
  </x:sheetData>
  <x:mergeCells>
    <x:mergeCell ref="A1:H1"/>
    <x:mergeCell ref="A2:H2"/>
    <x:mergeCell ref="A16:H1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CBD5E1"/>
  </x:sheetPr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5" hidden="0" customWidth="1"/>
    <x:col min="4" max="4" width="16" hidden="0" customWidth="1"/>
    <x:col min="5" max="5" width="40" hidden="0" customWidth="1"/>
    <x:col min="6" max="6" width="12" hidden="0" customWidth="1"/>
    <x:col min="7" max="7" width="44" hidden="0" customWidth="1"/>
  </x:cols>
  <x:sheetData>
    <x:row r="1" ht="27" customHeight="1">
      <x:c r="A1" s="521" t="str">
        <x:v>Debt Detail</x:v>
      </x:c>
      <x:c r="B1" s="521"/>
      <x:c r="C1" s="521"/>
      <x:c r="D1" s="521"/>
      <x:c r="E1" s="521"/>
      <x:c r="F1" s="521"/>
      <x:c r="G1" s="521"/>
    </x:row>
    <x:row r="2" ht="28" customHeight="1">
      <x:c r="A2" s="377" t="str">
        <x:v>Statement figures are a starting point. On payday, update the yellow balance, minimum, and due-date cells directly from each account app—no new statement needed.</x:v>
      </x:c>
      <x:c r="B2" s="377"/>
      <x:c r="C2" s="377"/>
      <x:c r="D2" s="377"/>
      <x:c r="E2" s="377"/>
      <x:c r="F2" s="377"/>
      <x:c r="G2" s="377"/>
    </x:row>
    <x:row r="3">
      <x:c r="A3" s="507"/>
      <x:c r="B3" s="507"/>
      <x:c r="C3" s="507"/>
      <x:c r="D3" s="507"/>
      <x:c r="E3" s="507"/>
      <x:c r="F3" s="507"/>
      <x:c r="G3" s="507"/>
    </x:row>
    <x:row r="4" ht="28" customHeight="1">
      <x:c r="A4" s="518" t="str">
        <x:v>Account / bill</x:v>
      </x:c>
      <x:c r="B4" s="519" t="str">
        <x:v>Balance</x:v>
      </x:c>
      <x:c r="C4" s="519" t="str">
        <x:v>Minimum / required payment</x:v>
      </x:c>
      <x:c r="D4" s="519" t="str">
        <x:v>Due date</x:v>
      </x:c>
      <x:c r="E4" s="519" t="str">
        <x:v>APR / terms</x:v>
      </x:c>
      <x:c r="F4" s="519" t="str">
        <x:v>Currency</x:v>
      </x:c>
      <x:c r="G4" s="520" t="str">
        <x:v>Source / status</x:v>
      </x:c>
    </x:row>
    <x:row r="5">
      <x:c r="A5" s="362" t="str">
        <x:v>Chase card</x:v>
      </x:c>
      <x:c r="B5" s="395" t="n">
        <x:v>266.96</x:v>
      </x:c>
      <x:c r="C5" s="395" t="n">
        <x:v>0</x:v>
      </x:c>
      <x:c r="D5" s="414"/>
      <x:c r="E5" s="362" t="str">
        <x:v>27.49% purchases (statement)</x:v>
      </x:c>
      <x:c r="F5" s="362" t="str">
        <x:v>USD</x:v>
      </x:c>
      <x:c r="G5" s="362" t="str">
        <x:v>Current balance from Sep. 9 Chase screenshot. $500.33 pending activity is tracked separately. No payment due was shown.</x:v>
      </x:c>
    </x:row>
    <x:row r="6">
      <x:c r="A6" s="362" t="str">
        <x:v>Citi card</x:v>
      </x:c>
      <x:c r="B6" s="395" t="n">
        <x:v>132.09</x:v>
      </x:c>
      <x:c r="C6" s="395" t="n">
        <x:v>0</x:v>
      </x:c>
      <x:c r="D6" s="414"/>
      <x:c r="E6" s="362" t="str">
        <x:v>APR not rechecked</x:v>
      </x:c>
      <x:c r="F6" s="362" t="str">
        <x:v>USD</x:v>
      </x:c>
      <x:c r="G6" s="362" t="str">
        <x:v>Current balance from Sep. 9 Citi screenshot. Closing date Oct. 7; payment due date was not shown.</x:v>
      </x:c>
    </x:row>
    <x:row r="7">
      <x:c r="A7" s="362" t="str">
        <x:v>Discover card</x:v>
      </x:c>
      <x:c r="B7" s="395" t="n">
        <x:v>0</x:v>
      </x:c>
      <x:c r="C7" s="395" t="n">
        <x:v>0</x:v>
      </x:c>
      <x:c r="D7" s="414"/>
      <x:c r="E7" s="362" t="str">
        <x:v>26.49% purchases</x:v>
      </x:c>
      <x:c r="F7" s="362" t="str">
        <x:v>USD</x:v>
      </x:c>
      <x:c r="G7" s="362" t="str">
        <x:v>Current posted balance $0; Nationwide Pet $48.27 is pending and recorded separately in the ledger</x:v>
      </x:c>
    </x:row>
    <x:row r="8">
      <x:c r="A8" s="362" t="str">
        <x:v>Capital One card</x:v>
      </x:c>
      <x:c r="B8" s="395" t="n">
        <x:v>0</x:v>
      </x:c>
      <x:c r="C8" s="395" t="n">
        <x:v>0</x:v>
      </x:c>
      <x:c r="D8" s="414"/>
      <x:c r="E8" s="362" t="str">
        <x:v>28.99% purchases</x:v>
      </x:c>
      <x:c r="F8" s="362" t="str">
        <x:v>USD</x:v>
      </x:c>
      <x:c r="G8" s="362" t="str">
        <x:v>Current balance $0 in Sep. 9 app screenshot</x:v>
      </x:c>
    </x:row>
    <x:row r="9">
      <x:c r="A9" s="362" t="str">
        <x:v>Prime Visa card</x:v>
      </x:c>
      <x:c r="B9" s="395" t="n">
        <x:v>0</x:v>
      </x:c>
      <x:c r="C9" s="395" t="n">
        <x:v>0</x:v>
      </x:c>
      <x:c r="D9" s="414"/>
      <x:c r="E9" s="362" t="str">
        <x:v>27.49% purchases</x:v>
      </x:c>
      <x:c r="F9" s="362" t="str">
        <x:v>USD</x:v>
      </x:c>
      <x:c r="G9" s="362" t="str">
        <x:v>Current balance $0 in Sep. 9 app screenshot; no payment due</x:v>
      </x:c>
    </x:row>
    <x:row r="10">
      <x:c r="A10" s="362" t="str">
        <x:v>PayPal Credit</x:v>
      </x:c>
      <x:c r="B10" s="395" t="n">
        <x:v>1318.93</x:v>
      </x:c>
      <x:c r="C10" s="395" t="n">
        <x:v>0</x:v>
      </x:c>
      <x:c r="D10" s="414"/>
      <x:c r="E10" s="362" t="str">
        <x:v>Promos: 29.64% deferred interest if not paid by deadlines</x:v>
      </x:c>
      <x:c r="F10" s="362" t="str">
        <x:v>USD</x:v>
      </x:c>
      <x:c r="G10" s="362" t="str">
        <x:v>Sep. 9 app screenshot; Sep. 2 payment of $148.65 reduced Progressive to $169.37. App warns displayed amounts may be delayed.</x:v>
      </x:c>
    </x:row>
    <x:row r="11">
      <x:c r="A11" s="362" t="str">
        <x:v>Genesis G70 auto loan</x:v>
      </x:c>
      <x:c r="B11" s="395" t="n">
        <x:v>21784.21</x:v>
      </x:c>
      <x:c r="C11" s="395" t="n">
        <x:v>746.47</x:v>
      </x:c>
      <x:c r="D11" s="414" t="n">
        <x:v>46292</x:v>
      </x:c>
      <x:c r="E11" s="362" t="str">
        <x:v>6.70% APR</x:v>
      </x:c>
      <x:c r="F11" s="362" t="str">
        <x:v>USD</x:v>
      </x:c>
      <x:c r="G11" s="362" t="str">
        <x:v>User-confirmed recurring due date; August payment complete. Fund $172.26/week in a reserve, then pay the exact $746.47 on the 27th.</x:v>
      </x:c>
    </x:row>
    <x:row r="12">
      <x:c r="A12" s="362" t="str">
        <x:v>RBC Canada student loan</x:v>
      </x:c>
      <x:c r="B12" s="395"/>
      <x:c r="C12" s="395" t="n">
        <x:v>80</x:v>
      </x:c>
      <x:c r="D12" s="414"/>
      <x:c r="E12" s="362" t="str">
        <x:v>Balance and terms pending</x:v>
      </x:c>
      <x:c r="F12" s="362" t="str">
        <x:v>CAD</x:v>
      </x:c>
      <x:c r="G12" s="362" t="str">
        <x:v>Monthly payment confirmed; balance unknown</x:v>
      </x:c>
    </x:row>
    <x:row r="13">
      <x:c r="A13" s="362" t="str">
        <x:v>Life insurance</x:v>
      </x:c>
      <x:c r="B13" s="395"/>
      <x:c r="C13" s="395" t="n">
        <x:v>102.33</x:v>
      </x:c>
      <x:c r="D13" s="414"/>
      <x:c r="E13" s="362" t="str">
        <x:v>Monthly premium</x:v>
      </x:c>
      <x:c r="F13" s="362" t="str">
        <x:v>CAD</x:v>
      </x:c>
      <x:c r="G13" s="362" t="str">
        <x:v>Monthly amount confirmed</x:v>
      </x:c>
    </x:row>
    <x:row r="14">
      <x:c r="A14" s="362" t="str">
        <x:v>Direct Energy</x:v>
      </x:c>
      <x:c r="B14" s="395" t="n">
        <x:v>0</x:v>
      </x:c>
      <x:c r="C14" s="395" t="n">
        <x:v>0</x:v>
      </x:c>
      <x:c r="D14" s="414"/>
      <x:c r="E14" s="362" t="str">
        <x:v>Next bill not supplied</x:v>
      </x:c>
      <x:c r="F14" s="362" t="str">
        <x:v>USD</x:v>
      </x:c>
      <x:c r="G14" s="362" t="str">
        <x:v>Prior $65.72 bill posted to Chase. Do not treat the old Sep. 14 due date as current.</x:v>
      </x:c>
    </x:row>
    <x:row r="15">
      <x:c r="A15" s="362" t="str">
        <x:v>Nationwide pet insurance</x:v>
      </x:c>
      <x:c r="B15" s="395" t="n">
        <x:v>48.27</x:v>
      </x:c>
      <x:c r="C15" s="395" t="n">
        <x:v>48.27</x:v>
      </x:c>
      <x:c r="D15" s="414"/>
      <x:c r="E15" s="362" t="str">
        <x:v>Monthly premium</x:v>
      </x:c>
      <x:c r="F15" s="362" t="str">
        <x:v>USD</x:v>
      </x:c>
      <x:c r="G15" s="362" t="str">
        <x:v>Pending Sep. 8 on Discover; tracked separately from flexible pet costs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CBD5E1"/>
  </x:sheetPr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20" hidden="0" customWidth="1"/>
    <x:col min="4" max="4" width="20" hidden="0" customWidth="1"/>
    <x:col min="5" max="5" width="16" hidden="0" customWidth="1"/>
    <x:col min="6" max="6" width="20" hidden="0" customWidth="1"/>
    <x:col min="7" max="7" width="30" hidden="0" customWidth="1"/>
  </x:cols>
  <x:sheetData>
    <x:row r="1" ht="27" customHeight="1">
      <x:c r="A1" s="521" t="str">
        <x:v>PayPal Promotional Payoff Plan</x:v>
      </x:c>
      <x:c r="B1" s="521"/>
      <x:c r="C1" s="521"/>
      <x:c r="D1" s="521"/>
      <x:c r="E1" s="521"/>
      <x:c r="F1" s="521"/>
      <x:c r="G1" s="521"/>
    </x:row>
    <x:row r="2" ht="28" customHeight="1">
      <x:c r="A2" s="377" t="str">
        <x:v>Stage 1 funds only promos due by the Stage 1 deadline. After that date, the weekly target automatically switches to the later promos. Update balances before each payoff; every deferred-interest balance must be $0 by its deadline.</x:v>
      </x:c>
      <x:c r="B2" s="377"/>
      <x:c r="C2" s="377"/>
      <x:c r="D2" s="377"/>
      <x:c r="E2" s="377"/>
      <x:c r="F2" s="377"/>
      <x:c r="G2" s="377"/>
    </x:row>
    <x:row r="3">
      <x:c r="A3" s="507" t="str">
        <x:v>Reference date</x:v>
      </x:c>
      <x:c r="B3" s="531" t="n">
        <x:v>46274</x:v>
      </x:c>
      <x:c r="C3" s="507"/>
      <x:c r="D3" s="507" t="str">
        <x:v>Stage 1 deadline</x:v>
      </x:c>
      <x:c r="E3" s="531" t="n">
        <x:v>46305</x:v>
      </x:c>
      <x:c r="F3" s="507"/>
      <x:c r="G3" s="507"/>
    </x:row>
    <x:row r="4">
      <x:c r="A4" s="507"/>
      <x:c r="B4" s="507"/>
      <x:c r="C4" s="507"/>
      <x:c r="D4" s="507"/>
      <x:c r="E4" s="507"/>
      <x:c r="F4" s="507"/>
      <x:c r="G4" s="507"/>
    </x:row>
    <x:row r="5" ht="28" customHeight="1">
      <x:c r="A5" s="367" t="str">
        <x:v>Merchant</x:v>
      </x:c>
      <x:c r="B5" s="368" t="str">
        <x:v>Deadline</x:v>
      </x:c>
      <x:c r="C5" s="368" t="str">
        <x:v>Balance</x:v>
      </x:c>
      <x:c r="D5" s="368" t="str">
        <x:v>Accrued deferred interest</x:v>
      </x:c>
      <x:c r="E5" s="368" t="str">
        <x:v>Weeks remaining</x:v>
      </x:c>
      <x:c r="F5" s="368" t="str">
        <x:v>Weekly payoff target</x:v>
      </x:c>
      <x:c r="G5" s="369" t="str">
        <x:v>Priority</x:v>
      </x:c>
    </x:row>
    <x:row r="6">
      <x:c r="A6" s="507" t="str">
        <x:v>Progressive car insurance</x:v>
      </x:c>
      <x:c r="B6" s="532" t="n">
        <x:v>46305</x:v>
      </x:c>
      <x:c r="C6" s="533" t="n">
        <x:v>169.37</x:v>
      </x:c>
      <x:c r="D6" s="533" t="n">
        <x:v>105.51</x:v>
      </x:c>
      <x:c r="E6" s="507" t="n">
        <x:f>MAX(1,ROUNDUP((B6-$B$3)/7,0))</x:f>
        <x:v>5</x:v>
      </x:c>
      <x:c r="F6" s="533" t="n">
        <x:f>IF($B$3&gt;B6,0,IF(B6&lt;=$E$3,C6/E6,IF($B$3&gt;$E$3,C6/E6,0)))</x:f>
        <x:v>33.874</x:v>
      </x:c>
      <x:c r="G6" s="507" t="str">
        <x:f>IF(B6&lt;=$E$3,"Stage 1 - pay now",IF($B$3&lt;=$E$3,"Stage 2 - begins after Oct. 10","Stage 2 - pay now"))</x:f>
        <x:v>Stage 1 - pay now</x:v>
      </x:c>
    </x:row>
    <x:row r="7">
      <x:c r="A7" s="507" t="str">
        <x:v>Best Buy</x:v>
      </x:c>
      <x:c r="B7" s="532" t="n">
        <x:v>46305</x:v>
      </x:c>
      <x:c r="C7" s="533" t="n">
        <x:v>573.71</x:v>
      </x:c>
      <x:c r="D7" s="533" t="n">
        <x:v>69.3</x:v>
      </x:c>
      <x:c r="E7" s="507" t="n">
        <x:f>MAX(1,ROUNDUP((B7-$B$3)/7,0))</x:f>
        <x:v>5</x:v>
      </x:c>
      <x:c r="F7" s="533" t="n">
        <x:f>IF($B$3&gt;B7,0,IF(B7&lt;=$E$3,C7/E7,IF($B$3&gt;$E$3,C7/E7,0)))</x:f>
        <x:v>114.742</x:v>
      </x:c>
      <x:c r="G7" s="507" t="str">
        <x:f>IF(B7&lt;=$E$3,"Stage 1 - pay now",IF($B$3&lt;=$E$3,"Stage 2 - begins after Oct. 10","Stage 2 - pay now"))</x:f>
        <x:v>Stage 1 - pay now</x:v>
      </x:c>
    </x:row>
    <x:row r="8">
      <x:c r="A8" s="507" t="str">
        <x:v>eBay</x:v>
      </x:c>
      <x:c r="B8" s="532" t="n">
        <x:v>46397</x:v>
      </x:c>
      <x:c r="C8" s="533" t="n">
        <x:v>406.05</x:v>
      </x:c>
      <x:c r="D8" s="533" t="n">
        <x:v>20.7</x:v>
      </x:c>
      <x:c r="E8" s="507" t="n">
        <x:f>MAX(1,ROUNDUP((B8-$B$3)/7,0))</x:f>
        <x:v>18</x:v>
      </x:c>
      <x:c r="F8" s="533" t="n">
        <x:f>IF($B$3&gt;B8,0,IF(B8&lt;=$E$3,C8/E8,IF($B$3&gt;$E$3,C8/E8,0)))</x:f>
        <x:v>0</x:v>
      </x:c>
      <x:c r="G8" s="507" t="str">
        <x:f>IF(B8&lt;=$E$3,"Stage 1 - pay now",IF($B$3&lt;=$E$3,"Stage 2 - begins after Oct. 10","Stage 2 - pay now"))</x:f>
        <x:v>Stage 2 - begins after Oct. 10</x:v>
      </x:c>
    </x:row>
    <x:row r="9">
      <x:c r="A9" s="507" t="str">
        <x:v>Plaud.ai</x:v>
      </x:c>
      <x:c r="B9" s="532" t="n">
        <x:v>46397</x:v>
      </x:c>
      <x:c r="C9" s="533" t="n">
        <x:v>169.8</x:v>
      </x:c>
      <x:c r="D9" s="533" t="n">
        <x:v>8.37</x:v>
      </x:c>
      <x:c r="E9" s="507" t="n">
        <x:f>MAX(1,ROUNDUP((B9-$B$3)/7,0))</x:f>
        <x:v>18</x:v>
      </x:c>
      <x:c r="F9" s="533" t="n">
        <x:f>IF($B$3&gt;B9,0,IF(B9&lt;=$E$3,C9/E9,IF($B$3&gt;$E$3,C9/E9,0)))</x:f>
        <x:v>0</x:v>
      </x:c>
      <x:c r="G9" s="507" t="str">
        <x:f>IF(B9&lt;=$E$3,"Stage 1 - pay now",IF($B$3&lt;=$E$3,"Stage 2 - begins after Oct. 10","Stage 2 - pay now"))</x:f>
        <x:v>Stage 2 - begins after Oct. 10</x:v>
      </x:c>
    </x:row>
    <x:row r="10">
      <x:c r="A10" s="507"/>
      <x:c r="B10" s="507"/>
      <x:c r="C10" s="533"/>
      <x:c r="D10" s="533"/>
      <x:c r="E10" s="507"/>
      <x:c r="F10" s="533"/>
      <x:c r="G10" s="507"/>
    </x:row>
    <x:row r="11">
      <x:c r="A11" s="534" t="str">
        <x:v>Total</x:v>
      </x:c>
      <x:c r="B11" s="534"/>
      <x:c r="C11" s="535" t="n">
        <x:f>SUM(C6:C9)</x:f>
        <x:v>1318.93</x:v>
      </x:c>
      <x:c r="D11" s="535" t="n">
        <x:f>SUM(D6:D9)</x:f>
        <x:v>203.88</x:v>
      </x:c>
      <x:c r="E11" s="534"/>
      <x:c r="F11" s="535" t="n">
        <x:f>SUM(F6:F9)</x:f>
        <x:v>148.616</x:v>
      </x:c>
      <x:c r="G11" s="534"/>
    </x:row>
    <x:row r="12">
      <x:c r="A12" s="536" t="str">
        <x:v>Suggested weekly payment</x:v>
      </x:c>
      <x:c r="B12" s="537"/>
      <x:c r="C12" s="537"/>
      <x:c r="D12" s="537"/>
      <x:c r="E12" s="537"/>
      <x:c r="F12" s="538" t="n">
        <x:f>F11</x:f>
        <x:v>148.616</x:v>
      </x:c>
      <x:c r="G12" s="539"/>
    </x:row>
  </x:sheetData>
  <x:mergeCells>
    <x:mergeCell ref="A1:G1"/>
    <x:mergeCell ref="A2:G2"/>
  </x:mergeCells>
  <x:conditionalFormatting sqref="G6:G7">
    <x:cfRule type="containsText" dxfId="1" priority="1" operator="containsText" text="Stage 1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CBD5E1"/>
  </x:sheetPr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18" hidden="0" customWidth="1"/>
    <x:col min="2" max="2" width="29" hidden="0" customWidth="1"/>
    <x:col min="3" max="3" width="22" hidden="0" customWidth="1"/>
    <x:col min="4" max="4" width="15" hidden="0" customWidth="1"/>
    <x:col min="5" max="5" width="15" hidden="0" customWidth="1"/>
    <x:col min="6" max="6" width="18" hidden="0" customWidth="1"/>
    <x:col min="7" max="7" width="52" hidden="0" customWidth="1"/>
    <x:col min="8" max="8" width="18" hidden="0" customWidth="1"/>
    <x:col min="9" max="9" width="20" hidden="0" customWidth="1"/>
    <x:col min="10" max="10" width="38" hidden="0" customWidth="1"/>
  </x:cols>
  <x:sheetData>
    <x:row r="1" ht="27" customHeight="1">
      <x:c r="A1" s="509" t="str">
        <x:v>Account Snapshots &amp; Source Control</x:v>
      </x:c>
      <x:c r="B1" s="509"/>
      <x:c r="C1" s="509"/>
      <x:c r="D1" s="509"/>
      <x:c r="E1" s="509"/>
      <x:c r="F1" s="509"/>
      <x:c r="G1" s="509"/>
      <x:c r="H1" s="509"/>
      <x:c r="I1" s="509"/>
      <x:c r="J1" s="509"/>
    </x:row>
    <x:row r="2" ht="28" customHeight="1">
      <x:c r="A2" s="377" t="str">
        <x:v>Cash snapshots are point-in-time values. The source-control section is the import gate: an independent screenshot count and total must match the ledger before Start can show Verified.</x:v>
      </x:c>
      <x:c r="B2" s="377"/>
      <x:c r="C2" s="377"/>
      <x:c r="D2" s="377"/>
      <x:c r="E2" s="377"/>
      <x:c r="F2" s="377"/>
      <x:c r="G2" s="377"/>
      <x:c r="H2" s="377"/>
      <x:c r="I2" s="377"/>
      <x:c r="J2" s="377"/>
    </x:row>
    <x:row r="3">
      <x:c r="A3" s="507"/>
      <x:c r="B3" s="507"/>
      <x:c r="C3" s="507"/>
      <x:c r="D3" s="507"/>
      <x:c r="E3" s="507"/>
      <x:c r="F3" s="507"/>
      <x:c r="G3" s="507"/>
      <x:c r="H3" s="507"/>
      <x:c r="I3" s="507"/>
      <x:c r="J3" s="507"/>
    </x:row>
    <x:row r="4">
      <x:c r="A4" s="367" t="str">
        <x:v>As-of date</x:v>
      </x:c>
      <x:c r="B4" s="368" t="str">
        <x:v>Account</x:v>
      </x:c>
      <x:c r="C4" s="368" t="str">
        <x:v>Available balance</x:v>
      </x:c>
      <x:c r="D4" s="368" t="str">
        <x:v>Pending credits</x:v>
      </x:c>
      <x:c r="E4" s="368" t="str">
        <x:v>Pending debits</x:v>
      </x:c>
      <x:c r="F4" s="368" t="str">
        <x:v>Usable cash now</x:v>
      </x:c>
      <x:c r="G4" s="369" t="str">
        <x:v>Source / note</x:v>
      </x:c>
      <x:c r="H4" s="507"/>
      <x:c r="I4" s="507"/>
      <x:c r="J4" s="507"/>
    </x:row>
    <x:row r="5" ht="45" customHeight="1">
      <x:c r="A5" s="415" t="n">
        <x:v>46274</x:v>
      </x:c>
      <x:c r="B5" s="362" t="str">
        <x:v>Wells Fargo checking</x:v>
      </x:c>
      <x:c r="C5" s="416" t="n">
        <x:v>1227.78</x:v>
      </x:c>
      <x:c r="D5" s="416" t="n">
        <x:v>1343.38</x:v>
      </x:c>
      <x:c r="E5" s="416" t="n">
        <x:v>75</x:v>
      </x:c>
      <x:c r="F5" s="416" t="n">
        <x:v>1227.78</x:v>
      </x:c>
      <x:c r="G5" s="362" t="str">
        <x:v>Available balance from Sep. 9 screenshot; posted balance was −$40.60 before pending payroll and Fidelity activity</x:v>
      </x:c>
      <x:c r="H5" s="507"/>
      <x:c r="I5" s="507"/>
      <x:c r="J5" s="507"/>
    </x:row>
    <x:row r="6" ht="45" customHeight="1">
      <x:c r="A6" s="415" t="n">
        <x:v>46274</x:v>
      </x:c>
      <x:c r="B6" s="362" t="str">
        <x:v>Wealthfront savings</x:v>
      </x:c>
      <x:c r="C6" s="416" t="n">
        <x:v>11847.64</x:v>
      </x:c>
      <x:c r="D6" s="416" t="n">
        <x:v>0</x:v>
      </x:c>
      <x:c r="E6" s="416" t="n">
        <x:v>0</x:v>
      </x:c>
      <x:c r="F6" s="416" t="n">
        <x:v>11847.64</x:v>
      </x:c>
      <x:c r="G6" s="362" t="str">
        <x:v>Sep. 9 screenshot; no activity after the Sep. 2 Wells transfer is visible</x:v>
      </x:c>
      <x:c r="H6" s="507"/>
      <x:c r="I6" s="507"/>
      <x:c r="J6" s="507"/>
    </x:row>
    <x:row r="7" ht="45" customHeight="1">
      <x:c r="A7" s="415" t="n">
        <x:v>46274</x:v>
      </x:c>
      <x:c r="B7" s="362" t="str">
        <x:v>Personal safe cash</x:v>
      </x:c>
      <x:c r="C7" s="416" t="n">
        <x:v>220</x:v>
      </x:c>
      <x:c r="D7" s="416" t="n">
        <x:v>0</x:v>
      </x:c>
      <x:c r="E7" s="416" t="n">
        <x:v>0</x:v>
      </x:c>
      <x:c r="F7" s="416" t="n">
        <x:v>220</x:v>
      </x:c>
      <x:c r="G7" s="362" t="str">
        <x:v>Wife’s Sep. 9 income held as cash; $160 added to the prior $60. Excluded from Wells/Wealthfront funding.</x:v>
      </x:c>
      <x:c r="H7" s="507"/>
      <x:c r="I7" s="507"/>
      <x:c r="J7" s="507"/>
    </x:row>
    <x:row r="8">
      <x:c r="A8" s="507"/>
      <x:c r="B8" s="507"/>
      <x:c r="C8" s="507"/>
      <x:c r="D8" s="507"/>
      <x:c r="E8" s="507"/>
      <x:c r="F8" s="507"/>
      <x:c r="G8" s="507"/>
      <x:c r="H8" s="507"/>
      <x:c r="I8" s="507"/>
      <x:c r="J8" s="507"/>
    </x:row>
    <x:row r="9">
      <x:c r="A9" s="507"/>
      <x:c r="B9" s="507"/>
      <x:c r="C9" s="507"/>
      <x:c r="D9" s="507"/>
      <x:c r="E9" s="507"/>
      <x:c r="F9" s="507"/>
      <x:c r="G9" s="507"/>
      <x:c r="H9" s="507"/>
      <x:c r="I9" s="507"/>
      <x:c r="J9" s="507"/>
    </x:row>
    <x:row r="10">
      <x:c r="A10" s="540" t="str">
        <x:v>Screenshot source control</x:v>
      </x:c>
      <x:c r="B10" s="540"/>
      <x:c r="C10" s="540"/>
      <x:c r="D10" s="540"/>
      <x:c r="E10" s="540"/>
      <x:c r="F10" s="540"/>
      <x:c r="G10" s="540"/>
      <x:c r="H10" s="540"/>
      <x:c r="I10" s="540"/>
      <x:c r="J10" s="540"/>
    </x:row>
    <x:row r="11" ht="30" customHeight="1">
      <x:c r="A11" s="367" t="str">
        <x:v>Account</x:v>
      </x:c>
      <x:c r="B11" s="368" t="str">
        <x:v>Capture</x:v>
      </x:c>
      <x:c r="C11" s="368" t="str">
        <x:v>Ledger scope</x:v>
      </x:c>
      <x:c r="D11" s="368" t="str">
        <x:v>Expected entries</x:v>
      </x:c>
      <x:c r="E11" s="368" t="str">
        <x:v>Entered</x:v>
      </x:c>
      <x:c r="F11" s="368" t="str">
        <x:v>Expected visible total</x:v>
      </x:c>
      <x:c r="G11" s="368" t="str">
        <x:v>Ledger visible total</x:v>
      </x:c>
      <x:c r="H11" s="368" t="str">
        <x:v>Anchor reached?</x:v>
      </x:c>
      <x:c r="I11" s="368" t="str">
        <x:v>Control status</x:v>
      </x:c>
      <x:c r="J11" s="369" t="str">
        <x:v>Next action</x:v>
      </x:c>
    </x:row>
    <x:row r="12" ht="30" customHeight="1">
      <x:c r="A12" s="362" t="str">
        <x:v>Wells Fargo</x:v>
      </x:c>
      <x:c r="B12" s="362" t="str">
        <x:v>Wells snapshot — Sep 9</x:v>
      </x:c>
      <x:c r="C12" s="362" t="str">
        <x:v>Balance + transfers</x:v>
      </x:c>
      <x:c r="D12" s="362" t="str"/>
      <x:c r="E12" s="362" t="str"/>
      <x:c r="F12" s="362" t="str"/>
      <x:c r="G12" s="362" t="str"/>
      <x:c r="H12" s="362" t="str">
        <x:v>Yes</x:v>
      </x:c>
      <x:c r="I12" s="362" t="str">
        <x:v>Verified</x:v>
      </x:c>
      <x:c r="J12" s="362" t="str">
        <x:v>Capture a newer balance and activity view next review</x:v>
      </x:c>
    </x:row>
    <x:row r="13" ht="30" customHeight="1">
      <x:c r="A13" s="362" t="str">
        <x:v>Wealthfront</x:v>
      </x:c>
      <x:c r="B13" s="362" t="str">
        <x:v>Wealthfront snapshot — Sep 9</x:v>
      </x:c>
      <x:c r="C13" s="362" t="str">
        <x:v>Balance</x:v>
      </x:c>
      <x:c r="D13" s="362" t="str"/>
      <x:c r="E13" s="362" t="str"/>
      <x:c r="F13" s="362" t="str"/>
      <x:c r="G13" s="362" t="str"/>
      <x:c r="H13" s="362" t="str">
        <x:v>Yes</x:v>
      </x:c>
      <x:c r="I13" s="362" t="str">
        <x:v>Verified</x:v>
      </x:c>
      <x:c r="J13" s="362" t="str">
        <x:v>Capture newer activity only when it changes</x:v>
      </x:c>
    </x:row>
    <x:row r="14" ht="30" customHeight="1">
      <x:c r="A14" s="362" t="str">
        <x:v>Chase Sapphire</x:v>
      </x:c>
      <x:c r="B14" s="362" t="str">
        <x:v>Chase activity — Sep 9</x:v>
      </x:c>
      <x:c r="C14" s="362" t="str">
        <x:v>Posted ledger rows</x:v>
      </x:c>
      <x:c r="D14" s="362" t="n">
        <x:v>22</x:v>
      </x:c>
      <x:c r="E14" s="362" t="n">
        <x:f>COUNTIF('Support - Ledger'!$K$5:$K$304,B14)</x:f>
        <x:v>22</x:v>
      </x:c>
      <x:c r="F14" s="416" t="n">
        <x:v>182.72</x:v>
      </x:c>
      <x:c r="G14" s="416" t="n">
        <x:f>SUMIF('Support - Ledger'!$K$5:$K$304,B14,'Support - Ledger'!$D$5:$D$304)</x:f>
        <x:v>182.72000000000006</x:v>
      </x:c>
      <x:c r="H14" s="362" t="str">
        <x:v>Yes</x:v>
      </x:c>
      <x:c r="I14" s="362" t="str">
        <x:f>IF(E14&lt;&gt;D14,"Missing entry",IF(ABS(G14-F14)&gt;0.005,"Total mismatch",IF(H14&lt;&gt;"Yes","Anchor not reached","Verified")))</x:f>
        <x:v>Verified</x:v>
      </x:c>
      <x:c r="J14" s="362" t="str">
        <x:v>Capture activity through the saved anchor</x:v>
      </x:c>
    </x:row>
    <x:row r="15" ht="30" customHeight="1">
      <x:c r="A15" s="362" t="str">
        <x:v>Chase Sapphire</x:v>
      </x:c>
      <x:c r="B15" s="362" t="str">
        <x:v>Chase pending — Sep 9</x:v>
      </x:c>
      <x:c r="C15" s="362" t="str">
        <x:v>Pending ledger rows</x:v>
      </x:c>
      <x:c r="D15" s="362" t="n">
        <x:v>5</x:v>
      </x:c>
      <x:c r="E15" s="362" t="n">
        <x:f>COUNTIF('Support - Ledger'!$K$5:$K$304,B15)</x:f>
        <x:v>5</x:v>
      </x:c>
      <x:c r="F15" s="416" t="n">
        <x:v>500.33</x:v>
      </x:c>
      <x:c r="G15" s="416" t="n">
        <x:f>SUMIF('Support - Ledger'!$K$5:$K$304,B15,'Support - Ledger'!$D$5:$D$304)</x:f>
        <x:v>500.33000000000004</x:v>
      </x:c>
      <x:c r="H15" s="362" t="str">
        <x:v>Yes</x:v>
      </x:c>
      <x:c r="I15" s="362" t="str">
        <x:f>IF(E15&lt;&gt;D15,"Missing entry",IF(ABS(G15-F15)&gt;0.005,"Total mismatch",IF(H15&lt;&gt;"Yes","Anchor not reached","Verified")))</x:f>
        <x:v>Verified</x:v>
      </x:c>
      <x:c r="J15" s="362" t="str">
        <x:v>Capture all current pending activity</x:v>
      </x:c>
    </x:row>
    <x:row r="16" ht="30" customHeight="1">
      <x:c r="A16" s="362" t="str">
        <x:v>Citi AAdvantage</x:v>
      </x:c>
      <x:c r="B16" s="362" t="str">
        <x:v>2026-09-09 Citi activity</x:v>
      </x:c>
      <x:c r="C16" s="362" t="str">
        <x:v>Posted ledger rows</x:v>
      </x:c>
      <x:c r="D16" s="362" t="n">
        <x:v>3</x:v>
      </x:c>
      <x:c r="E16" s="362" t="n">
        <x:f>COUNTIF('Support - Ledger'!$K$5:$K$304,B16)</x:f>
        <x:v>3</x:v>
      </x:c>
      <x:c r="F16" s="416" t="n">
        <x:v>52.63</x:v>
      </x:c>
      <x:c r="G16" s="416" t="n">
        <x:f>SUMIF('Support - Ledger'!$K$5:$K$304,B16,'Support - Ledger'!$D$5:$D$304)</x:f>
        <x:v>52.63000000000001</x:v>
      </x:c>
      <x:c r="H16" s="362" t="str">
        <x:v>Yes</x:v>
      </x:c>
      <x:c r="I16" s="362" t="str">
        <x:f>IF(E16&lt;&gt;D16,"Missing entry",IF(ABS(G16-F16)&gt;0.005,"Total mismatch",IF(H16&lt;&gt;"Yes","Anchor not reached","Verified")))</x:f>
        <x:v>Verified</x:v>
      </x:c>
      <x:c r="J16" s="362" t="str">
        <x:v>Capture activity through the saved anchor</x:v>
      </x:c>
    </x:row>
    <x:row r="17" ht="30" customHeight="1">
      <x:c r="A17" s="362" t="str">
        <x:v>Prime Visa</x:v>
      </x:c>
      <x:c r="B17" s="362" t="str">
        <x:v>Prime balance — Sep 9</x:v>
      </x:c>
      <x:c r="C17" s="362" t="str">
        <x:v>Balance only</x:v>
      </x:c>
      <x:c r="D17" s="362" t="str"/>
      <x:c r="E17" s="362" t="str"/>
      <x:c r="F17" s="416" t="str"/>
      <x:c r="G17" s="416" t="str"/>
      <x:c r="H17" s="362" t="str">
        <x:v>Yes</x:v>
      </x:c>
      <x:c r="I17" s="362" t="str">
        <x:v>Verified</x:v>
      </x:c>
      <x:c r="J17" s="362" t="str">
        <x:v>Capture activity only when balance is not $0</x:v>
      </x:c>
    </x:row>
    <x:row r="18" ht="30" customHeight="1">
      <x:c r="A18" s="362" t="str">
        <x:v>Discover</x:v>
      </x:c>
      <x:c r="B18" s="362" t="str">
        <x:v>2026-09-09 Discover balance / activity</x:v>
      </x:c>
      <x:c r="C18" s="362" t="str">
        <x:v>Pending ledger rows</x:v>
      </x:c>
      <x:c r="D18" s="362" t="n">
        <x:v>1</x:v>
      </x:c>
      <x:c r="E18" s="362" t="n">
        <x:f>COUNTIF('Support - Ledger'!$K$5:$K$304,B18)</x:f>
        <x:v>1</x:v>
      </x:c>
      <x:c r="F18" s="416" t="n">
        <x:v>48.27</x:v>
      </x:c>
      <x:c r="G18" s="416" t="n">
        <x:f>SUMIF('Support - Ledger'!$K$5:$K$304,B18,'Support - Ledger'!$D$5:$D$304)</x:f>
        <x:v>48.27</x:v>
      </x:c>
      <x:c r="H18" s="362" t="str">
        <x:v>Yes</x:v>
      </x:c>
      <x:c r="I18" s="362" t="str">
        <x:f>IF(E18&lt;&gt;D18,"Missing entry",IF(ABS(G18-F18)&gt;0.005,"Total mismatch",IF(H18&lt;&gt;"Yes","Anchor not reached","Verified")))</x:f>
        <x:v>Verified</x:v>
      </x:c>
      <x:c r="J18" s="362" t="str">
        <x:v>Capture balance and all recent activity</x:v>
      </x:c>
    </x:row>
    <x:row r="19" ht="30" customHeight="1">
      <x:c r="A19" s="362" t="str">
        <x:v>Capital One</x:v>
      </x:c>
      <x:c r="B19" s="362" t="str">
        <x:v>Capital One balance — Sep 9</x:v>
      </x:c>
      <x:c r="C19" s="362" t="str">
        <x:v>Balance only</x:v>
      </x:c>
      <x:c r="D19" s="362" t="str"/>
      <x:c r="E19" s="362" t="str"/>
      <x:c r="F19" s="362" t="str"/>
      <x:c r="G19" s="362" t="str"/>
      <x:c r="H19" s="362" t="str">
        <x:v>Yes</x:v>
      </x:c>
      <x:c r="I19" s="362" t="str">
        <x:v>Verified</x:v>
      </x:c>
      <x:c r="J19" s="362" t="str">
        <x:v>Capture activity only when balance is not $0</x:v>
      </x:c>
    </x:row>
    <x:row r="20" ht="30" customHeight="1">
      <x:c r="A20" s="362" t="str">
        <x:v>PayPal Credit</x:v>
      </x:c>
      <x:c r="B20" s="362" t="str">
        <x:v>PayPal balance + promos — Sep 9</x:v>
      </x:c>
      <x:c r="C20" s="362" t="str">
        <x:v>Debt / promo detail</x:v>
      </x:c>
      <x:c r="D20" s="362" t="str"/>
      <x:c r="E20" s="362" t="str"/>
      <x:c r="F20" s="362" t="str"/>
      <x:c r="G20" s="362" t="str"/>
      <x:c r="H20" s="362" t="str">
        <x:v>Yes</x:v>
      </x:c>
      <x:c r="I20" s="362" t="str">
        <x:v>Verified</x:v>
      </x:c>
      <x:c r="J20" s="362" t="str">
        <x:v>Full active promo list captured; recheck when a promo changes</x:v>
      </x:c>
    </x:row>
    <x:row r="21" ht="30" customHeight="1">
      <x:c r="A21" s="362" t="str">
        <x:v>RBC Canada</x:v>
      </x:c>
      <x:c r="B21" s="362" t="str">
        <x:v>Month-end</x:v>
      </x:c>
      <x:c r="C21" s="362" t="str">
        <x:v>Not due</x:v>
      </x:c>
      <x:c r="D21" s="362" t="str"/>
      <x:c r="E21" s="362" t="str"/>
      <x:c r="F21" s="362" t="str"/>
      <x:c r="G21" s="362" t="str"/>
      <x:c r="H21" s="362" t="str"/>
      <x:c r="I21" s="362" t="str">
        <x:v>Not due</x:v>
      </x:c>
      <x:c r="J21" s="362" t="str">
        <x:v>Review at month-end</x:v>
      </x:c>
    </x:row>
  </x:sheetData>
  <x:mergeCells>
    <x:mergeCell ref="A1:J1"/>
    <x:mergeCell ref="A2:J2"/>
    <x:mergeCell ref="A10:J10"/>
  </x:mergeCells>
  <x:conditionalFormatting sqref="I12:I21">
    <x:cfRule type="containsText" dxfId="18" priority="1" operator="containsText" text="Verified"/>
    <x:cfRule type="containsText" dxfId="19" priority="2" operator="containsText" text="Missing"/>
    <x:cfRule type="containsText" dxfId="20" priority="3" operator="containsText" text="mismatch"/>
    <x:cfRule type="containsText" dxfId="21" priority="4" operator="containsText" text="Needs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CBD5E1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6" hidden="0" customWidth="1"/>
    <x:col min="3" max="3" width="16" hidden="0" customWidth="1"/>
    <x:col min="4" max="4" width="22" hidden="0" customWidth="1"/>
    <x:col min="5" max="5" width="24" hidden="0" customWidth="1"/>
    <x:col min="6" max="6" width="58" hidden="0" customWidth="1"/>
  </x:cols>
  <x:sheetData>
    <x:row r="1" ht="27" customHeight="1">
      <x:c r="A1" s="509" t="str">
        <x:v>Historical Pending Review — Aug 25–31</x:v>
      </x:c>
      <x:c r="B1" s="509"/>
      <x:c r="C1" s="509"/>
      <x:c r="D1" s="509"/>
      <x:c r="E1" s="509"/>
      <x:c r="F1" s="509"/>
    </x:row>
    <x:row r="2" ht="28" customHeight="1">
      <x:c r="A2" s="377" t="str">
        <x:v>Archived historical context only. Do not use these totals as current Chase exposure; current pending activity is captured in Support - Ledger and the active source-control section.</x:v>
      </x:c>
      <x:c r="B2" s="377"/>
      <x:c r="C2" s="377"/>
      <x:c r="D2" s="377"/>
      <x:c r="E2" s="377"/>
      <x:c r="F2" s="377"/>
    </x:row>
    <x:row r="3">
      <x:c r="A3" s="507"/>
      <x:c r="B3" s="507"/>
      <x:c r="C3" s="507"/>
      <x:c r="D3" s="507"/>
      <x:c r="E3" s="507"/>
      <x:c r="F3" s="507"/>
    </x:row>
    <x:row r="4" ht="28" customHeight="1">
      <x:c r="A4" s="518" t="str">
        <x:v>Date</x:v>
      </x:c>
      <x:c r="B4" s="519" t="str">
        <x:v>Merchant</x:v>
      </x:c>
      <x:c r="C4" s="519" t="str">
        <x:v>Amount</x:v>
      </x:c>
      <x:c r="D4" s="519" t="str">
        <x:v>Category</x:v>
      </x:c>
      <x:c r="E4" s="519" t="str">
        <x:v>Plan treatment</x:v>
      </x:c>
      <x:c r="F4" s="520" t="str">
        <x:v>Note</x:v>
      </x:c>
    </x:row>
    <x:row r="5">
      <x:c r="A5" s="415" t="n">
        <x:v>46263</x:v>
      </x:c>
      <x:c r="B5" s="362" t="str">
        <x:v>Direct Energy</x:v>
      </x:c>
      <x:c r="C5" s="416" t="n">
        <x:v>65.72</x:v>
      </x:c>
      <x:c r="D5" s="362" t="str">
        <x:v>Electricity</x:v>
      </x:c>
      <x:c r="E5" s="362" t="str">
        <x:v>Already budgeted</x:v>
      </x:c>
      <x:c r="F5" s="362" t="str">
        <x:v>Matches current electricity invoice</x:v>
      </x:c>
    </x:row>
    <x:row r="6">
      <x:c r="A6" s="415" t="n">
        <x:v>46263</x:v>
      </x:c>
      <x:c r="B6" s="362" t="str">
        <x:v>Coastal Cuts Groom</x:v>
      </x:c>
      <x:c r="C6" s="416" t="n">
        <x:v>89</x:v>
      </x:c>
      <x:c r="D6" s="362" t="str">
        <x:v>Pet grooming</x:v>
      </x:c>
      <x:c r="E6" s="362" t="str">
        <x:v>Already budgeted</x:v>
      </x:c>
      <x:c r="F6" s="362" t="str">
        <x:v>Covered by pet/grooming reserve</x:v>
      </x:c>
    </x:row>
    <x:row r="7">
      <x:c r="A7" s="415" t="n">
        <x:v>46263</x:v>
      </x:c>
      <x:c r="B7" s="362" t="str">
        <x:v>Starbucks</x:v>
      </x:c>
      <x:c r="C7" s="416" t="n">
        <x:v>5.9</x:v>
      </x:c>
      <x:c r="D7" s="362" t="str">
        <x:v>Coffee / discretionary</x:v>
      </x:c>
      <x:c r="E7" s="362" t="str">
        <x:v>Not covered / confirm</x:v>
      </x:c>
      <x:c r="F7" s="362" t="str">
        <x:v>No separate Starbucks budget</x:v>
      </x:c>
    </x:row>
    <x:row r="8">
      <x:c r="A8" s="415" t="n">
        <x:v>46262</x:v>
      </x:c>
      <x:c r="B8" s="362" t="str">
        <x:v>Royal Caribbean</x:v>
      </x:c>
      <x:c r="C8" s="416" t="n">
        <x:v>382.18</x:v>
      </x:c>
      <x:c r="D8" s="362" t="str">
        <x:v>Cruise travel</x:v>
      </x:c>
      <x:c r="E8" s="362" t="str">
        <x:v>Not covered / confirm</x:v>
      </x:c>
      <x:c r="F8" s="362" t="str">
        <x:v>Cruise fund transfer begins Sep. 1; this charge predates funding</x:v>
      </x:c>
    </x:row>
    <x:row r="9">
      <x:c r="A9" s="415" t="n">
        <x:v>46262</x:v>
      </x:c>
      <x:c r="B9" s="362" t="str">
        <x:v>H-E-B</x:v>
      </x:c>
      <x:c r="C9" s="416" t="n">
        <x:v>130.07</x:v>
      </x:c>
      <x:c r="D9" s="362" t="str">
        <x:v>Groceries</x:v>
      </x:c>
      <x:c r="E9" s="362" t="str">
        <x:v>Already budgeted</x:v>
      </x:c>
      <x:c r="F9" s="362" t="str">
        <x:v>Covered by H-E-B weekly envelope</x:v>
      </x:c>
    </x:row>
    <x:row r="10">
      <x:c r="A10" s="415" t="n">
        <x:v>46262</x:v>
      </x:c>
      <x:c r="B10" s="362" t="str">
        <x:v>ARKPERFORMA</x:v>
      </x:c>
      <x:c r="C10" s="416" t="n">
        <x:v>52.95</x:v>
      </x:c>
      <x:c r="D10" s="362" t="str">
        <x:v>Unknown merchant</x:v>
      </x:c>
      <x:c r="E10" s="362" t="str">
        <x:v>Not covered / confirm</x:v>
      </x:c>
      <x:c r="F10" s="362" t="str">
        <x:v>Need merchant confirmation</x:v>
      </x:c>
    </x:row>
    <x:row r="11">
      <x:c r="A11" s="415" t="n">
        <x:v>46262</x:v>
      </x:c>
      <x:c r="B11" s="362" t="str">
        <x:v>Invincible app charge</x:v>
      </x:c>
      <x:c r="C11" s="416" t="n">
        <x:v>36.71</x:v>
      </x:c>
      <x:c r="D11" s="362" t="str">
        <x:v>Games / apps</x:v>
      </x:c>
      <x:c r="E11" s="362" t="str">
        <x:v>Already budgeted</x:v>
      </x:c>
      <x:c r="F11" s="362" t="str">
        <x:v>Part of $50 weekly games cap</x:v>
      </x:c>
    </x:row>
    <x:row r="12">
      <x:c r="A12" s="415" t="n">
        <x:v>46261</x:v>
      </x:c>
      <x:c r="B12" s="362" t="str">
        <x:v>DoorDash</x:v>
      </x:c>
      <x:c r="C12" s="416" t="n">
        <x:v>30.53</x:v>
      </x:c>
      <x:c r="D12" s="362" t="str">
        <x:v>DoorDash</x:v>
      </x:c>
      <x:c r="E12" s="362" t="str">
        <x:v>Already budgeted</x:v>
      </x:c>
      <x:c r="F12" s="362" t="str">
        <x:v>Covered by DoorDash weekly envelope</x:v>
      </x:c>
    </x:row>
    <x:row r="13">
      <x:c r="A13" s="415" t="n">
        <x:v>46261</x:v>
      </x:c>
      <x:c r="B13" s="362" t="str">
        <x:v>McWhorter Service</x:v>
      </x:c>
      <x:c r="C13" s="416" t="n">
        <x:v>216.51</x:v>
      </x:c>
      <x:c r="D13" s="362" t="str">
        <x:v>Vehicle service</x:v>
      </x:c>
      <x:c r="E13" s="362" t="str">
        <x:v>Not covered / confirm</x:v>
      </x:c>
      <x:c r="F13" s="362" t="str">
        <x:v>Auto costs currently excluded from weekly plan</x:v>
      </x:c>
    </x:row>
    <x:row r="14">
      <x:c r="A14" s="415" t="n">
        <x:v>46261</x:v>
      </x:c>
      <x:c r="B14" s="362" t="str">
        <x:v>Gas Fusion</x:v>
      </x:c>
      <x:c r="C14" s="416" t="n">
        <x:v>5.03</x:v>
      </x:c>
      <x:c r="D14" s="362" t="str">
        <x:v>Fuel</x:v>
      </x:c>
      <x:c r="E14" s="362" t="str">
        <x:v>Already budgeted</x:v>
      </x:c>
      <x:c r="F14" s="362" t="str">
        <x:v>Covered by fuel weekly envelope</x:v>
      </x:c>
    </x:row>
    <x:row r="15">
      <x:c r="A15" s="415" t="n">
        <x:v>46261</x:v>
      </x:c>
      <x:c r="B15" s="362" t="str">
        <x:v>Invincible app charge</x:v>
      </x:c>
      <x:c r="C15" s="416" t="n">
        <x:v>18.35</x:v>
      </x:c>
      <x:c r="D15" s="362" t="str">
        <x:v>Games / apps</x:v>
      </x:c>
      <x:c r="E15" s="362" t="str">
        <x:v>Already budgeted</x:v>
      </x:c>
      <x:c r="F15" s="362" t="str">
        <x:v>Combined pending Invincible charges are $55.06, $5.06 above cap</x:v>
      </x:c>
    </x:row>
    <x:row r="16">
      <x:c r="A16" s="415" t="n">
        <x:v>46261</x:v>
      </x:c>
      <x:c r="B16" s="362" t="str">
        <x:v>Starbucks</x:v>
      </x:c>
      <x:c r="C16" s="416" t="n">
        <x:v>12.91</x:v>
      </x:c>
      <x:c r="D16" s="362" t="str">
        <x:v>Coffee / discretionary</x:v>
      </x:c>
      <x:c r="E16" s="362" t="str">
        <x:v>Not covered / confirm</x:v>
      </x:c>
      <x:c r="F16" s="362" t="str">
        <x:v>No separate Starbucks budget</x:v>
      </x:c>
    </x:row>
    <x:row r="17">
      <x:c r="A17" s="415" t="n">
        <x:v>46261</x:v>
      </x:c>
      <x:c r="B17" s="362" t="str">
        <x:v>Mariner of the Seas</x:v>
      </x:c>
      <x:c r="C17" s="416" t="n">
        <x:v>181.67</x:v>
      </x:c>
      <x:c r="D17" s="362" t="str">
        <x:v>Cruise travel</x:v>
      </x:c>
      <x:c r="E17" s="362" t="str">
        <x:v>Not covered / confirm</x:v>
      </x:c>
      <x:c r="F17" s="362" t="str">
        <x:v>Cruise charge</x:v>
      </x:c>
    </x:row>
    <x:row r="18">
      <x:c r="A18" s="415" t="n">
        <x:v>46260</x:v>
      </x:c>
      <x:c r="B18" s="362" t="str">
        <x:v>Mariner of the Seas</x:v>
      </x:c>
      <x:c r="C18" s="416" t="n">
        <x:v>25.95</x:v>
      </x:c>
      <x:c r="D18" s="362" t="str">
        <x:v>Cruise travel</x:v>
      </x:c>
      <x:c r="E18" s="362" t="str">
        <x:v>Not covered / confirm</x:v>
      </x:c>
      <x:c r="F18" s="362" t="str">
        <x:v>Cruise charge</x:v>
      </x:c>
    </x:row>
    <x:row r="19">
      <x:c r="A19" s="415" t="n">
        <x:v>46259</x:v>
      </x:c>
      <x:c r="B19" s="362" t="str">
        <x:v>Mariner of the Seas</x:v>
      </x:c>
      <x:c r="C19" s="416" t="n">
        <x:v>82.73</x:v>
      </x:c>
      <x:c r="D19" s="362" t="str">
        <x:v>Cruise travel</x:v>
      </x:c>
      <x:c r="E19" s="362" t="str">
        <x:v>Not covered / confirm</x:v>
      </x:c>
      <x:c r="F19" s="362" t="str">
        <x:v>Cruise charge</x:v>
      </x:c>
    </x:row>
    <x:row r="20">
      <x:c r="A20" s="415" t="n">
        <x:v>46259</x:v>
      </x:c>
      <x:c r="B20" s="362" t="str">
        <x:v>Mariner of the Seas</x:v>
      </x:c>
      <x:c r="C20" s="416" t="n">
        <x:v>15.93</x:v>
      </x:c>
      <x:c r="D20" s="362" t="str">
        <x:v>Cruise travel</x:v>
      </x:c>
      <x:c r="E20" s="362" t="str">
        <x:v>Not covered / confirm</x:v>
      </x:c>
      <x:c r="F20" s="362" t="str">
        <x:v>Cruise charge</x:v>
      </x:c>
    </x:row>
    <x:row r="21">
      <x:c r="A21" s="507"/>
      <x:c r="B21" s="507"/>
      <x:c r="C21" s="533"/>
      <x:c r="D21" s="507"/>
      <x:c r="E21" s="507"/>
      <x:c r="F21" s="507"/>
    </x:row>
    <x:row r="22">
      <x:c r="A22" s="553" t="str">
        <x:v>Total pending charges</x:v>
      </x:c>
      <x:c r="B22" s="554"/>
      <x:c r="C22" s="555" t="n">
        <x:f>SUM(C5:C20)</x:f>
        <x:v>1352.14</x:v>
      </x:c>
      <x:c r="D22" s="507"/>
      <x:c r="E22" s="507"/>
      <x:c r="F22" s="507"/>
    </x:row>
    <x:row r="23">
      <x:c r="A23" s="556" t="str">
        <x:v>Already budgeted in weekly plan</x:v>
      </x:c>
      <x:c r="B23" s="557"/>
      <x:c r="C23" s="558" t="n">
        <x:f>SUMIF(E5:E20,"Already budgeted",C5:C20)</x:f>
        <x:v>375.40999999999997</x:v>
      </x:c>
      <x:c r="D23" s="507"/>
      <x:c r="E23" s="507"/>
      <x:c r="F23" s="507"/>
    </x:row>
    <x:row r="24">
      <x:c r="A24" s="559" t="str">
        <x:v>Not covered / needs confirmation</x:v>
      </x:c>
      <x:c r="B24" s="560"/>
      <x:c r="C24" s="561" t="n">
        <x:f>C22-C23</x:f>
        <x:v>976.7300000000001</x:v>
      </x:c>
      <x:c r="D24" s="507"/>
      <x:c r="E24" s="507"/>
      <x:c r="F24" s="507"/>
    </x:row>
    <x:row r="25">
      <x:c r="A25" s="507"/>
      <x:c r="B25" s="507"/>
      <x:c r="C25" s="533"/>
      <x:c r="D25" s="507"/>
      <x:c r="E25" s="507"/>
      <x:c r="F25" s="507"/>
    </x:row>
    <x:row r="26">
      <x:c r="A26" s="562" t="str">
        <x:v>Historical snapshot only — not a current Chase exposure measure</x:v>
      </x:c>
      <x:c r="B26" s="563"/>
      <x:c r="C26" s="564"/>
      <x:c r="D26" s="507"/>
      <x:c r="E26" s="507"/>
      <x:c r="F26" s="507"/>
    </x:row>
  </x:sheetData>
  <x:mergeCells>
    <x:mergeCell ref="A1:F1"/>
    <x:mergeCell ref="A2:F2"/>
    <x:mergeCell ref="A22:B22"/>
    <x:mergeCell ref="A23:B23"/>
    <x:mergeCell ref="A24:B24"/>
    <x:mergeCell ref="A26:B26"/>
  </x:mergeCells>
  <x:conditionalFormatting sqref="E5:E20">
    <x:cfRule type="containsText" dxfId="2" priority="1" operator="containsText" text="Already budgeted"/>
    <x:cfRule type="containsText" dxfId="3" priority="2" operator="containsText" text="Not covered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CBD5E1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4" hidden="0" customWidth="1"/>
    <x:col min="3" max="3" width="18" hidden="0" customWidth="1"/>
    <x:col min="4" max="4" width="24" hidden="0" customWidth="1"/>
    <x:col min="5" max="5" width="24" hidden="0" customWidth="1"/>
    <x:col min="6" max="6" width="18" hidden="0" customWidth="1"/>
  </x:cols>
  <x:sheetData>
    <x:row r="1" ht="27" customHeight="1">
      <x:c r="A1" s="509" t="str">
        <x:v>Import Rules</x:v>
      </x:c>
      <x:c r="B1" s="509"/>
      <x:c r="C1" s="509"/>
      <x:c r="D1" s="509"/>
      <x:c r="E1" s="509"/>
      <x:c r="F1" s="509"/>
    </x:row>
    <x:row r="2" ht="28" customHeight="1">
      <x:c r="A2" s="377" t="str">
        <x:v>Edit yellow cells only when a new merchant needs a rule. Exact merchant rules take priority; the optional category fallback supports native bank CSV labels. Transfers and card payments are excluded from spending totals.</x:v>
      </x:c>
      <x:c r="B2" s="377"/>
      <x:c r="C2" s="377"/>
      <x:c r="D2" s="377"/>
      <x:c r="E2" s="377"/>
      <x:c r="F2" s="377"/>
    </x:row>
    <x:row r="3">
      <x:c r="A3" s="507"/>
      <x:c r="B3" s="507"/>
      <x:c r="C3" s="507"/>
      <x:c r="D3" s="507"/>
      <x:c r="E3" s="507"/>
      <x:c r="F3" s="507"/>
    </x:row>
    <x:row r="4" ht="28" customHeight="1">
      <x:c r="A4" s="577" t="str">
        <x:v>Exact merchant / description</x:v>
      </x:c>
      <x:c r="B4" s="578" t="str">
        <x:v>Workbook category</x:v>
      </x:c>
      <x:c r="C4" s="578" t="str">
        <x:v>Treatment</x:v>
      </x:c>
      <x:c r="D4" s="578" t="str">
        <x:v>Bank category fallback</x:v>
      </x:c>
      <x:c r="E4" s="578" t="str">
        <x:v>Fallback category</x:v>
      </x:c>
      <x:c r="F4" s="579" t="str">
        <x:v>Fallback treatment</x:v>
      </x:c>
    </x:row>
    <x:row r="5">
      <x:c r="A5" s="580" t="str">
        <x:v>H-E-B</x:v>
      </x:c>
      <x:c r="B5" s="581" t="str">
        <x:v>H-E-B / groceries</x:v>
      </x:c>
      <x:c r="C5" s="581" t="str">
        <x:v>Include</x:v>
      </x:c>
      <x:c r="D5" s="581" t="str">
        <x:v>Groceries</x:v>
      </x:c>
      <x:c r="E5" s="581" t="str">
        <x:v>H-E-B / groceries</x:v>
      </x:c>
      <x:c r="F5" s="582" t="str">
        <x:v>Include</x:v>
      </x:c>
    </x:row>
    <x:row r="6">
      <x:c r="A6" s="580" t="str">
        <x:v>DoorDash</x:v>
      </x:c>
      <x:c r="B6" s="581" t="str">
        <x:v>DoorDash</x:v>
      </x:c>
      <x:c r="C6" s="581" t="str">
        <x:v>Include</x:v>
      </x:c>
      <x:c r="D6" s="581" t="str">
        <x:v>Restaurants</x:v>
      </x:c>
      <x:c r="E6" s="581" t="str">
        <x:v>DoorDash</x:v>
      </x:c>
      <x:c r="F6" s="582" t="str">
        <x:v>Include</x:v>
      </x:c>
    </x:row>
    <x:row r="7">
      <x:c r="A7" s="580" t="str">
        <x:v>Starbucks</x:v>
      </x:c>
      <x:c r="B7" s="581" t="str">
        <x:v>Starbucks</x:v>
      </x:c>
      <x:c r="C7" s="581" t="str">
        <x:v>Include</x:v>
      </x:c>
      <x:c r="D7" s="581" t="str">
        <x:v>Coffee Shops</x:v>
      </x:c>
      <x:c r="E7" s="581" t="str">
        <x:v>Starbucks</x:v>
      </x:c>
      <x:c r="F7" s="582" t="str">
        <x:v>Include</x:v>
      </x:c>
    </x:row>
    <x:row r="8">
      <x:c r="A8" s="580" t="str">
        <x:v>INVINCIBLE APPCHARGE</x:v>
      </x:c>
      <x:c r="B8" s="581" t="str">
        <x:v>Apple &amp; Invincibles</x:v>
      </x:c>
      <x:c r="C8" s="581" t="str">
        <x:v>Include</x:v>
      </x:c>
      <x:c r="D8" s="581" t="str">
        <x:v>Gas</x:v>
      </x:c>
      <x:c r="E8" s="581" t="str">
        <x:v>Fuel</x:v>
      </x:c>
      <x:c r="F8" s="582" t="str">
        <x:v>Include</x:v>
      </x:c>
    </x:row>
    <x:row r="9">
      <x:c r="A9" s="580" t="str">
        <x:v>Apple</x:v>
      </x:c>
      <x:c r="B9" s="581" t="str">
        <x:v>Apple &amp; Invincibles</x:v>
      </x:c>
      <x:c r="C9" s="581" t="str">
        <x:v>Include</x:v>
      </x:c>
      <x:c r="D9" s="581" t="str">
        <x:v>Pet Care</x:v>
      </x:c>
      <x:c r="E9" s="581" t="str">
        <x:v>Pet costs</x:v>
      </x:c>
      <x:c r="F9" s="582" t="str">
        <x:v>Include</x:v>
      </x:c>
    </x:row>
    <x:row r="10">
      <x:c r="A10" s="580" t="str">
        <x:v>OpenAI</x:v>
      </x:c>
      <x:c r="B10" s="581" t="str">
        <x:v>Subscriptions</x:v>
      </x:c>
      <x:c r="C10" s="581" t="str">
        <x:v>Include</x:v>
      </x:c>
      <x:c r="D10" s="581" t="str">
        <x:v>Utilities</x:v>
      </x:c>
      <x:c r="E10" s="581" t="str">
        <x:v>Electricity</x:v>
      </x:c>
      <x:c r="F10" s="582" t="str">
        <x:v>Include</x:v>
      </x:c>
    </x:row>
    <x:row r="11">
      <x:c r="A11" s="580" t="str">
        <x:v>AMAZON MARKETPLACE</x:v>
      </x:c>
      <x:c r="B11" s="581" t="str">
        <x:v>Shopping / personal care</x:v>
      </x:c>
      <x:c r="C11" s="581" t="str">
        <x:v>Include</x:v>
      </x:c>
      <x:c r="D11" s="581" t="str">
        <x:v>Internet</x:v>
      </x:c>
      <x:c r="E11" s="581" t="str">
        <x:v>Spectrum internet</x:v>
      </x:c>
      <x:c r="F11" s="582" t="str">
        <x:v>Include</x:v>
      </x:c>
    </x:row>
    <x:row r="12">
      <x:c r="A12" s="580" t="str">
        <x:v>AMAZON PRIME MEMBERSHIP</x:v>
      </x:c>
      <x:c r="B12" s="581" t="str">
        <x:v>Subscriptions</x:v>
      </x:c>
      <x:c r="C12" s="581" t="str">
        <x:v>Include</x:v>
      </x:c>
      <x:c r="D12" s="581" t="str">
        <x:v>Mobile Phone</x:v>
      </x:c>
      <x:c r="E12" s="581" t="str">
        <x:v>Phone + Visible</x:v>
      </x:c>
      <x:c r="F12" s="582" t="str">
        <x:v>Include</x:v>
      </x:c>
    </x:row>
    <x:row r="13">
      <x:c r="A13" s="580" t="str">
        <x:v>365 MARKET</x:v>
      </x:c>
      <x:c r="B13" s="581" t="str">
        <x:v>Work snacks</x:v>
      </x:c>
      <x:c r="C13" s="581" t="str">
        <x:v>Include</x:v>
      </x:c>
      <x:c r="D13" s="581" t="str">
        <x:v>Shopping</x:v>
      </x:c>
      <x:c r="E13" s="581" t="str">
        <x:v>Shopping / personal care</x:v>
      </x:c>
      <x:c r="F13" s="582" t="str">
        <x:v>Include</x:v>
      </x:c>
    </x:row>
    <x:row r="14">
      <x:c r="A14" s="580" t="str">
        <x:v>Vape</x:v>
      </x:c>
      <x:c r="B14" s="581" t="str">
        <x:v>Vapes</x:v>
      </x:c>
      <x:c r="C14" s="581" t="str">
        <x:v>Include</x:v>
      </x:c>
      <x:c r="D14" s="581" t="str">
        <x:v>Entertainment</x:v>
      </x:c>
      <x:c r="E14" s="581" t="str">
        <x:v>Invincibles + other Apple</x:v>
      </x:c>
      <x:c r="F14" s="582" t="str">
        <x:v>Include</x:v>
      </x:c>
    </x:row>
    <x:row r="15">
      <x:c r="A15" s="580" t="str">
        <x:v>Direct Energy</x:v>
      </x:c>
      <x:c r="B15" s="581" t="str">
        <x:v>Electricity</x:v>
      </x:c>
      <x:c r="C15" s="581" t="str">
        <x:v>Include</x:v>
      </x:c>
      <x:c r="D15" s="583" t="str"/>
      <x:c r="E15" s="583" t="str"/>
      <x:c r="F15" s="584" t="str"/>
    </x:row>
    <x:row r="16">
      <x:c r="A16" s="580" t="str">
        <x:v>Spectrum</x:v>
      </x:c>
      <x:c r="B16" s="581" t="str">
        <x:v>Spectrum internet</x:v>
      </x:c>
      <x:c r="C16" s="581" t="str">
        <x:v>Include</x:v>
      </x:c>
      <x:c r="D16" s="583" t="str"/>
      <x:c r="E16" s="583" t="str"/>
      <x:c r="F16" s="584" t="str"/>
    </x:row>
    <x:row r="17">
      <x:c r="A17" s="580" t="str">
        <x:v>AT&amp;T</x:v>
      </x:c>
      <x:c r="B17" s="581" t="str">
        <x:v>Phone + Visible</x:v>
      </x:c>
      <x:c r="C17" s="581" t="str">
        <x:v>Include</x:v>
      </x:c>
      <x:c r="D17" s="583" t="str"/>
      <x:c r="E17" s="583" t="str"/>
      <x:c r="F17" s="584" t="str"/>
    </x:row>
    <x:row r="18">
      <x:c r="A18" s="580" t="str">
        <x:v>Visible</x:v>
      </x:c>
      <x:c r="B18" s="581" t="str">
        <x:v>Phone + Visible</x:v>
      </x:c>
      <x:c r="C18" s="581" t="str">
        <x:v>Include</x:v>
      </x:c>
      <x:c r="D18" s="583" t="str"/>
      <x:c r="E18" s="583" t="str"/>
      <x:c r="F18" s="584" t="str"/>
    </x:row>
    <x:row r="19">
      <x:c r="A19" s="580" t="str">
        <x:v>BudgetPetCare</x:v>
      </x:c>
      <x:c r="B19" s="581" t="str">
        <x:v>Pet costs</x:v>
      </x:c>
      <x:c r="C19" s="581" t="str">
        <x:v>Include</x:v>
      </x:c>
      <x:c r="D19" s="583" t="str"/>
      <x:c r="E19" s="583" t="str"/>
      <x:c r="F19" s="584" t="str"/>
    </x:row>
    <x:row r="20">
      <x:c r="A20" s="580" t="str">
        <x:v>Nationwide Pet</x:v>
      </x:c>
      <x:c r="B20" s="581" t="str">
        <x:v>Pet costs</x:v>
      </x:c>
      <x:c r="C20" s="581" t="str">
        <x:v>Include</x:v>
      </x:c>
      <x:c r="D20" s="583" t="str"/>
      <x:c r="E20" s="583" t="str"/>
      <x:c r="F20" s="584" t="str"/>
    </x:row>
    <x:row r="21">
      <x:c r="A21" s="580" t="str">
        <x:v>Coastal Cuts</x:v>
      </x:c>
      <x:c r="B21" s="581" t="str">
        <x:v>Pet costs</x:v>
      </x:c>
      <x:c r="C21" s="581" t="str">
        <x:v>Include</x:v>
      </x:c>
      <x:c r="D21" s="583" t="str"/>
      <x:c r="E21" s="583" t="str"/>
      <x:c r="F21" s="584" t="str"/>
    </x:row>
    <x:row r="22">
      <x:c r="A22" s="580" t="str">
        <x:v>Gas Fusion</x:v>
      </x:c>
      <x:c r="B22" s="581" t="str">
        <x:v>Fuel</x:v>
      </x:c>
      <x:c r="C22" s="581" t="str">
        <x:v>Include</x:v>
      </x:c>
      <x:c r="D22" s="583" t="str"/>
      <x:c r="E22" s="583" t="str"/>
      <x:c r="F22" s="584" t="str"/>
    </x:row>
    <x:row r="23">
      <x:c r="A23" s="580" t="str">
        <x:v>Exxon</x:v>
      </x:c>
      <x:c r="B23" s="581" t="str">
        <x:v>Fuel</x:v>
      </x:c>
      <x:c r="C23" s="581" t="str">
        <x:v>Include</x:v>
      </x:c>
      <x:c r="D23" s="583" t="str"/>
      <x:c r="E23" s="583" t="str"/>
      <x:c r="F23" s="584" t="str"/>
    </x:row>
    <x:row r="24">
      <x:c r="A24" s="580" t="str">
        <x:v>Citi</x:v>
      </x:c>
      <x:c r="B24" s="581" t="str">
        <x:v>Fuel</x:v>
      </x:c>
      <x:c r="C24" s="581" t="str">
        <x:v>Include</x:v>
      </x:c>
      <x:c r="D24" s="583" t="str"/>
      <x:c r="E24" s="583" t="str"/>
      <x:c r="F24" s="584" t="str"/>
    </x:row>
    <x:row r="25">
      <x:c r="A25" s="580" t="str">
        <x:v>Fidelity</x:v>
      </x:c>
      <x:c r="B25" s="581" t="str">
        <x:v>Fidelity 401(k)</x:v>
      </x:c>
      <x:c r="C25" s="581" t="str">
        <x:v>Transfer / verify</x:v>
      </x:c>
      <x:c r="D25" s="583" t="str"/>
      <x:c r="E25" s="583" t="str"/>
      <x:c r="F25" s="584" t="str"/>
    </x:row>
    <x:row r="26">
      <x:c r="A26" s="580" t="str">
        <x:v>UMB</x:v>
      </x:c>
      <x:c r="B26" s="581" t="str">
        <x:v>Rent set-aside</x:v>
      </x:c>
      <x:c r="C26" s="581" t="str">
        <x:v>Transfer / verify</x:v>
      </x:c>
      <x:c r="D26" s="583" t="str"/>
      <x:c r="E26" s="583" t="str"/>
      <x:c r="F26" s="584" t="str"/>
    </x:row>
    <x:row r="27">
      <x:c r="A27" s="580" t="str">
        <x:v>Wealthfront</x:v>
      </x:c>
      <x:c r="B27" s="581" t="str">
        <x:v>Savings transfer</x:v>
      </x:c>
      <x:c r="C27" s="581" t="str">
        <x:v>Transfer / verify</x:v>
      </x:c>
      <x:c r="D27" s="583" t="str"/>
      <x:c r="E27" s="583" t="str"/>
      <x:c r="F27" s="584" t="str"/>
    </x:row>
    <x:row r="28">
      <x:c r="A28" s="580" t="str">
        <x:v>PayPal</x:v>
      </x:c>
      <x:c r="B28" s="581" t="str">
        <x:v>Cruise / PayPal</x:v>
      </x:c>
      <x:c r="C28" s="581" t="str">
        <x:v>Transfer / verify</x:v>
      </x:c>
      <x:c r="D28" s="583" t="str"/>
      <x:c r="E28" s="583" t="str"/>
      <x:c r="F28" s="584" t="str"/>
    </x:row>
    <x:row r="29">
      <x:c r="A29" s="580" t="str">
        <x:v>Chase Payment</x:v>
      </x:c>
      <x:c r="B29" s="581" t="str">
        <x:v>Credit-card payment</x:v>
      </x:c>
      <x:c r="C29" s="581" t="str">
        <x:v>Exclude</x:v>
      </x:c>
      <x:c r="D29" s="583" t="str"/>
      <x:c r="E29" s="583" t="str"/>
      <x:c r="F29" s="584" t="str"/>
    </x:row>
    <x:row r="30">
      <x:c r="A30" s="580" t="str">
        <x:v>Discover Payment</x:v>
      </x:c>
      <x:c r="B30" s="581" t="str">
        <x:v>Credit-card payment</x:v>
      </x:c>
      <x:c r="C30" s="581" t="str">
        <x:v>Exclude</x:v>
      </x:c>
      <x:c r="D30" s="583" t="str"/>
      <x:c r="E30" s="583" t="str"/>
      <x:c r="F30" s="584" t="str"/>
    </x:row>
    <x:row r="31">
      <x:c r="A31" s="585" t="str">
        <x:v>Capital One Payment</x:v>
      </x:c>
      <x:c r="B31" s="586" t="str">
        <x:v>Credit-card payment</x:v>
      </x:c>
      <x:c r="C31" s="586" t="str">
        <x:v>Exclude</x:v>
      </x:c>
      <x:c r="D31" s="587" t="str"/>
      <x:c r="E31" s="587" t="str"/>
      <x:c r="F31" s="588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CBD5E1"/>
  </x:sheetPr>
  <x:sheetViews>
    <x:sheetView showGridLines="0" workbookViewId="0"/>
  </x:sheetViews>
  <x:sheetFormatPr defaultRowHeight="15"/>
  <x:cols>
    <x:col min="1" max="1" width="24" hidden="0" customWidth="1"/>
    <x:col min="2" max="2" width="27" hidden="0" customWidth="1"/>
    <x:col min="3" max="3" width="20" hidden="0" customWidth="1"/>
    <x:col min="4" max="4" width="46" hidden="0" customWidth="1"/>
    <x:col min="5" max="5" width="55" hidden="0" customWidth="1"/>
  </x:cols>
  <x:sheetData>
    <x:row r="1" ht="27" customHeight="1">
      <x:c r="A1" s="509" t="str">
        <x:v>Sources &amp; Notes</x:v>
      </x:c>
      <x:c r="B1" s="509"/>
      <x:c r="C1" s="509"/>
      <x:c r="D1" s="509"/>
      <x:c r="E1" s="509"/>
    </x:row>
    <x:row r="2">
      <x:c r="A2" s="507"/>
      <x:c r="B2" s="507"/>
      <x:c r="C2" s="507"/>
      <x:c r="D2" s="507"/>
      <x:c r="E2" s="507"/>
    </x:row>
    <x:row r="3" ht="28" customHeight="1">
      <x:c r="A3" s="518" t="str">
        <x:v>Source</x:v>
      </x:c>
      <x:c r="B3" s="519" t="str">
        <x:v>What was used</x:v>
      </x:c>
      <x:c r="C3" s="519" t="str">
        <x:v>Period / date</x:v>
      </x:c>
      <x:c r="D3" s="519" t="str">
        <x:v>Recorded items</x:v>
      </x:c>
      <x:c r="E3" s="520" t="str">
        <x:v>Notes</x:v>
      </x:c>
    </x:row>
    <x:row r="4">
      <x:c r="A4" s="362" t="str">
        <x:v>Wells Fargo checking</x:v>
      </x:c>
      <x:c r="B4" s="362" t="str">
        <x:v>Sep. 9 balance + operating history</x:v>
      </x:c>
      <x:c r="C4" s="362" t="str">
        <x:v>Sep 9, 2026</x:v>
      </x:c>
      <x:c r="D4" s="362" t="str">
        <x:v>Available Wells $1,227.78 after pending Fidelity debit; pending payroll $1,343.38; wife’s $220 total income is held in the personal safe</x:v>
      </x:c>
      <x:c r="E4" s="362" t="str">
        <x:v>The earlier Jul–Aug account history establishes the $1,343.37 recurring-payroll baseline and $75 weekly Fidelity transfer. The Sep. 9 balance controls this live review. Rent funding is limited to verified Wells capacity after required actions, not a forced $300 deposit.</x:v>
      </x:c>
    </x:row>
    <x:row r="5">
      <x:c r="A5" s="362" t="str">
        <x:v>Capital One statement</x:v>
      </x:c>
      <x:c r="B5" s="362" t="str">
        <x:v>Card balance</x:v>
      </x:c>
      <x:c r="C5" s="362" t="str">
        <x:v>Jul 3-Aug 2, 2026</x:v>
      </x:c>
      <x:c r="D5" s="362" t="str">
        <x:v>$0.00 balance; $238.76 spending in period</x:v>
      </x:c>
      <x:c r="E5" s="362" t="str">
        <x:v>Current balance should be refreshed if new charges occurred</x:v>
      </x:c>
    </x:row>
    <x:row r="6">
      <x:c r="A6" s="362" t="str">
        <x:v>Discover statement</x:v>
      </x:c>
      <x:c r="B6" s="362" t="str">
        <x:v>Card balance</x:v>
      </x:c>
      <x:c r="C6" s="362" t="str">
        <x:v>Aug 9, 2026</x:v>
      </x:c>
      <x:c r="D6" s="362" t="str">
        <x:v>$48.27 balance; $20 minimum due Sep 6</x:v>
      </x:c>
      <x:c r="E6" s="362" t="str"/>
    </x:row>
    <x:row r="7">
      <x:c r="A7" s="362" t="str">
        <x:v>PayPal Credit statement</x:v>
      </x:c>
      <x:c r="B7" s="362" t="str">
        <x:v>Promo debt</x:v>
      </x:c>
      <x:c r="C7" s="362" t="str">
        <x:v>Aug 18, 2026</x:v>
      </x:c>
      <x:c r="D7" s="362" t="str">
        <x:v>$1,618.58 balance; $30 minimum; four deferred-interest promos</x:v>
      </x:c>
      <x:c r="E7" s="362" t="str">
        <x:v>Payoff plan tab prioritizes deadlines</x:v>
      </x:c>
    </x:row>
    <x:row r="8">
      <x:c r="A8" s="362" t="str">
        <x:v>Citi statement</x:v>
      </x:c>
      <x:c r="B8" s="362" t="str">
        <x:v>Card balance</x:v>
      </x:c>
      <x:c r="C8" s="362" t="str">
        <x:v>Aug 7, 2026</x:v>
      </x:c>
      <x:c r="D8" s="362" t="str">
        <x:v>$0.00 balance</x:v>
      </x:c>
      <x:c r="E8" s="362" t="str">
        <x:v>No monthly payment assumed</x:v>
      </x:c>
    </x:row>
    <x:row r="9">
      <x:c r="A9" s="362" t="str">
        <x:v>CUTX statement</x:v>
      </x:c>
      <x:c r="B9" s="362" t="str">
        <x:v>Auto loan</x:v>
      </x:c>
      <x:c r="C9" s="362" t="str">
        <x:v>Jul 31, 2026</x:v>
      </x:c>
      <x:c r="D9" s="362" t="str">
        <x:v>$21,784.21 balance; $746.47 payment; 6.70% APR</x:v>
      </x:c>
      <x:c r="E9" s="362" t="str"/>
    </x:row>
    <x:row r="10">
      <x:c r="A10" s="362" t="str">
        <x:v>Direct Energy invoice</x:v>
      </x:c>
      <x:c r="B10" s="362" t="str">
        <x:v>Electric bill</x:v>
      </x:c>
      <x:c r="C10" s="362" t="str">
        <x:v>Aug 2026</x:v>
      </x:c>
      <x:c r="D10" s="362" t="str">
        <x:v>$65.72 due Sep 14</x:v>
      </x:c>
      <x:c r="E10" s="362" t="str"/>
    </x:row>
    <x:row r="11">
      <x:c r="A11" s="362" t="str">
        <x:v>Chase statements</x:v>
      </x:c>
      <x:c r="B11" s="362" t="str">
        <x:v>Card balance, spending, subscriptions</x:v>
      </x:c>
      <x:c r="C11" s="362" t="str">
        <x:v>Jun-Aug 2026</x:v>
      </x:c>
      <x:c r="D11" s="362" t="str">
        <x:v>Invincibles app charges: $596.43, $605.63, then $972.68 across the three statement periods; Spectrum internet, Max, dog grooming, and BudgetPetCare observed</x:v>
      </x:c>
      <x:c r="E11" s="362" t="str">
        <x:v>BudgetPetCare last charged $36.45 on Jul. 29 and recurs every 3 months (next Oct. 16). Spectrum Mobile $672.29 was a one-time phone payoff funded from Wealthfront. Game/app budget cap set to $50/week. SiriusXM, NordVPN, HWBTPLUS, and Max are cancelled and excluded.</x:v>
      </x:c>
    </x:row>
    <x:row r="12">
      <x:c r="A12" s="362" t="str">
        <x:v>Prime Visa statement</x:v>
      </x:c>
      <x:c r="B12" s="362" t="str">
        <x:v>Card balance and subscription</x:v>
      </x:c>
      <x:c r="C12" s="362" t="str">
        <x:v>Aug 26, 2026</x:v>
      </x:c>
      <x:c r="D12" s="362" t="str">
        <x:v>$109.51 balance; $35 minimum due Sep 23; Amazon Prime $16.23</x:v>
      </x:c>
      <x:c r="E12" s="362" t="str">
        <x:v>Prime Visa added to Bills &amp; Debt</x:v>
      </x:c>
    </x:row>
    <x:row r="13">
      <x:c r="A13" s="362" t="str">
        <x:v>Del Mar College</x:v>
      </x:c>
      <x:c r="B13" s="362" t="str">
        <x:v>Sonography tuition planning</x:v>
      </x:c>
      <x:c r="C13" s="362" t="str">
        <x:v>Spring 2027 calendar</x:v>
      </x:c>
      <x:c r="D13" s="362" t="str">
        <x:v>Current semester paid; $2,707 target funded by weekly savings</x:v>
      </x:c>
      <x:c r="E13" s="362" t="str">
        <x:v>Tuition is due Dec. 2, 2026 at 6 p.m. for early registration, or Jan. 6, 2027 at 6 p.m. if registering later. Plan uses 14 Tuesday transfers of $193.36 to meet Dec. 2. https://www.delmar.edu/current-students/calendar.html</x:v>
      </x:c>
    </x:row>
  </x:sheetData>
  <x:mergeCells>
    <x:mergeCell ref="A1:E1"/>
  </x:mergeCells>
  <x:pageMargins left="0.7" right="0.7" top="0.75" bottom="0.75" header="0.3" footer="0.3"/>
</x:worksheet>
</file>