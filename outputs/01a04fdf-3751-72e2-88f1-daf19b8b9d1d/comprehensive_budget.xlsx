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90d7f1dc644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2a974f4e95454df4"/>
    <x:sheet xmlns:r="http://schemas.openxmlformats.org/officeDocument/2006/relationships" name="2. Tuesday Review" sheetId="2" r:id="Rb72f53deb76f4e9d"/>
    <x:sheet xmlns:r="http://schemas.openxmlformats.org/officeDocument/2006/relationships" name="3. This Week" sheetId="3" r:id="R3587b109c3b94d00"/>
    <x:sheet xmlns:r="http://schemas.openxmlformats.org/officeDocument/2006/relationships" name="4. Money Plan" sheetId="4" r:id="R5e2a651303eb4895"/>
    <x:sheet xmlns:r="http://schemas.openxmlformats.org/officeDocument/2006/relationships" name="5. Savings &amp; Debt" sheetId="5" r:id="R30d9b4cf779e44da"/>
    <x:sheet xmlns:r="http://schemas.openxmlformats.org/officeDocument/2006/relationships" name="6. History" sheetId="6" r:id="R77b498eb99c54980"/>
    <x:sheet xmlns:r="http://schemas.openxmlformats.org/officeDocument/2006/relationships" name="Support - Ledger" sheetId="7" r:id="Re62cdb7bc5bb4d48"/>
    <x:sheet xmlns:r="http://schemas.openxmlformats.org/officeDocument/2006/relationships" name="Support - Budget Inputs" sheetId="8" r:id="Rc4188cba3c934cbf"/>
    <x:sheet xmlns:r="http://schemas.openxmlformats.org/officeDocument/2006/relationships" name="Support - Funding Detail" sheetId="9" r:id="R4c44810e9af64359"/>
    <x:sheet xmlns:r="http://schemas.openxmlformats.org/officeDocument/2006/relationships" name="Support - Debt Detail" sheetId="10" r:id="R2e643984549a44a7"/>
    <x:sheet xmlns:r="http://schemas.openxmlformats.org/officeDocument/2006/relationships" name="Support - Promo Detail" sheetId="11" r:id="Rbadd843268084653"/>
    <x:sheet xmlns:r="http://schemas.openxmlformats.org/officeDocument/2006/relationships" name="Support - Account Snapshots" sheetId="12" r:id="R42c3f5c7ca1d4ff0"/>
    <x:sheet xmlns:r="http://schemas.openxmlformats.org/officeDocument/2006/relationships" name="Support - Pending Review" sheetId="13" r:id="R3e108b8a13f148c5"/>
    <x:sheet xmlns:r="http://schemas.openxmlformats.org/officeDocument/2006/relationships" name="Support - Rules" sheetId="14" r:id="R0ff996d7c0ae477f"/>
    <x:sheet xmlns:r="http://schemas.openxmlformats.org/officeDocument/2006/relationships" name="Support - Sources" sheetId="15" r:id="R570abb20b96349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6e90ba8854b04" /><Relationship Type="http://schemas.openxmlformats.org/officeDocument/2006/relationships/theme" Target="/xl/theme/theme1.xml" Id="R7c416eaf5d824374" /><Relationship Type="http://schemas.openxmlformats.org/officeDocument/2006/relationships/sharedStrings" Target="/xl/sharedStrings.xml" Id="Rd61b9cc29b2747f0" /><Relationship Type="http://schemas.openxmlformats.org/officeDocument/2006/relationships/worksheet" Target="/xl/worksheets/sheet1.xml" Id="R2a974f4e95454df4" /><Relationship Type="http://schemas.openxmlformats.org/officeDocument/2006/relationships/worksheet" Target="/xl/worksheets/sheet2.xml" Id="Rb72f53deb76f4e9d" /><Relationship Type="http://schemas.openxmlformats.org/officeDocument/2006/relationships/worksheet" Target="/xl/worksheets/sheet3.xml" Id="R3587b109c3b94d00" /><Relationship Type="http://schemas.openxmlformats.org/officeDocument/2006/relationships/worksheet" Target="/xl/worksheets/sheet4.xml" Id="R5e2a651303eb4895" /><Relationship Type="http://schemas.openxmlformats.org/officeDocument/2006/relationships/worksheet" Target="/xl/worksheets/sheet5.xml" Id="R30d9b4cf779e44da" /><Relationship Type="http://schemas.openxmlformats.org/officeDocument/2006/relationships/worksheet" Target="/xl/worksheets/sheet6.xml" Id="R77b498eb99c54980" /><Relationship Type="http://schemas.openxmlformats.org/officeDocument/2006/relationships/worksheet" Target="/xl/worksheets/sheet7.xml" Id="Re62cdb7bc5bb4d48" /><Relationship Type="http://schemas.openxmlformats.org/officeDocument/2006/relationships/worksheet" Target="/xl/worksheets/sheet8.xml" Id="Rc4188cba3c934cbf" /><Relationship Type="http://schemas.openxmlformats.org/officeDocument/2006/relationships/worksheet" Target="/xl/worksheets/sheet9.xml" Id="R4c44810e9af64359" /><Relationship Type="http://schemas.openxmlformats.org/officeDocument/2006/relationships/worksheet" Target="/xl/worksheets/sheet10.xml" Id="R2e643984549a44a7" /><Relationship Type="http://schemas.openxmlformats.org/officeDocument/2006/relationships/worksheet" Target="/xl/worksheets/sheet11.xml" Id="Rbadd843268084653" /><Relationship Type="http://schemas.openxmlformats.org/officeDocument/2006/relationships/worksheet" Target="/xl/worksheets/sheet12.xml" Id="R42c3f5c7ca1d4ff0" /><Relationship Type="http://schemas.openxmlformats.org/officeDocument/2006/relationships/worksheet" Target="/xl/worksheets/sheet13.xml" Id="R3e108b8a13f148c5" /><Relationship Type="http://schemas.openxmlformats.org/officeDocument/2006/relationships/worksheet" Target="/xl/worksheets/sheet14.xml" Id="R0ff996d7c0ae477f" /><Relationship Type="http://schemas.openxmlformats.org/officeDocument/2006/relationships/worksheet" Target="/xl/worksheets/sheet15.xml" Id="R570abb20b96349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Manual actions complete</x:v>
      </x:c>
      <x:c r="C7" s="429" t="str">
        <x:v>Automatic transfers await next import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Verify automatics</x:v>
      </x:c>
      <x:c r="C8" s="432" t="str">
        <x:v>At the next weekly import, confirm automatic transfers from account activity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11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5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Done</x:v>
      </x:c>
      <x:c r="F21" s="454" t="str">
        <x:v>Manual</x:v>
      </x:c>
      <x:c r="G21" s="419" t="str">
        <x:v>Transferred Sep. 15; user confirmed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418.80000000000007</x:v>
      </x:c>
      <x:c r="D23" s="476" t="n">
        <x:f>SUM(D6:D21)</x:f>
        <x:v>127.33000000000001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This guide refreshes at weekly closeout. During the import and Tuesday payment execution, use Start and Tuesday Review only. Savings &amp; Debt records the current rent contribution.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730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730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12756.13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770.1722999999965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1</x:v>
      </x:c>
      <x:c r="D13" s="474" t="n">
        <x:f>B13*C13</x:f>
        <x:v>75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1</x:v>
      </x:c>
      <x:c r="D14" s="474" t="n">
        <x:f>B14*C14</x:f>
        <x:v>85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1</x:v>
      </x:c>
      <x:c r="D15" s="474" t="n">
        <x:f>B15*C15</x:f>
        <x:v>193.36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1</x:v>
      </x:c>
      <x:c r="D16" s="474" t="n">
        <x:f>B16*C16</x:f>
        <x:v>50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403.36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Manual actions completed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74" t="n">
        <x:f>I7+J7</x:f>
        <x:v>569.6</x:v>
      </x:c>
      <x:c r="L7" s="474" t="str">
        <x:f>IF(H7="","",H7-K7)</x:f>
      </x:c>
      <x:c r="M7" s="544" t="str">
        <x:v>All five Sep. 15 manual actions are user-confirmed complete, including the $252.62 Wealthfront top-up. Automatic transfers remain for next-import verification.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Posted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No longer pending in the later Sep. 15 capture; $20.91 is part of the exact $27.46 Chase-payment delta</x:v>
      </x:c>
      <x:c r="K98" s="544" t="str">
        <x:v>Chase activity — Sep 15</x:v>
      </x:c>
      <x:c r="L98" s="544" t="str">
        <x:v>Posted activity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Posted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No longer pending in the later Sep. 15 capture; $6.55 is part of the exact $27.46 Chase-payment delta</x:v>
      </x:c>
      <x:c r="K99" s="544" t="str">
        <x:v>Chase activity — Sep 15</x:v>
      </x:c>
      <x:c r="L99" s="544" t="str">
        <x:v>Posted activity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730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132.08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post-payment exposure. The $813.84 payment cleared the $786.38 pre-payment balance plus the $27.46 that posted; six pending charges total $132.08.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730</x:v>
      </x:c>
      <x:c r="D7" s="474" t="n">
        <x:v>0</x:v>
      </x:c>
      <x:c r="E7" s="474" t="n">
        <x:v>0</x:v>
      </x:c>
      <x:c r="F7" s="474" t="n">
        <x:v>730</x:v>
      </x:c>
      <x:c r="G7" s="419" t="str">
        <x:v>Additive balance: $220 prior safe cash + $510 Sep. 15 addition = $730.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21</x:v>
      </x:c>
      <x:c r="E14" s="419" t="n">
        <x:f>COUNTIF('Support - Ledger'!$K$5:$K$304,B14)</x:f>
        <x:v>21</x:v>
      </x:c>
      <x:c r="F14" s="474" t="n">
        <x:v>540.66</x:v>
      </x:c>
      <x:c r="G14" s="474" t="n">
        <x:f>SUMIF('Support - Ledger'!$K$5:$K$304,B14,'Support - Ledger'!$D$5:$D$304)</x:f>
        <x:v>540.66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and exact payment-delta transition reconciled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6</x:v>
      </x:c>
      <x:c r="E15" s="419" t="n">
        <x:f>COUNTIF('Support - Ledger'!$K$5:$K$304,B15)</x:f>
        <x:v>6</x:v>
      </x:c>
      <x:c r="F15" s="474" t="n">
        <x:v>132.08</x:v>
      </x:c>
      <x:c r="G15" s="474" t="n">
        <x:f>SUMIF('Support - Ledger'!$K$5:$K$304,B15,'Support - Ledger'!$D$5:$D$304)</x:f>
        <x:v>132.08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Six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was $220 after the earlier $60 and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 and Sep. 15 follow-up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