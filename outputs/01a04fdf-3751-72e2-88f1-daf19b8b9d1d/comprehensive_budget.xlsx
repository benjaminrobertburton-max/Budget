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cac6ec331a41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d58d46c8b0c4216"/>
    <x:sheet xmlns:r="http://schemas.openxmlformats.org/officeDocument/2006/relationships" name="2. Tuesday Review" sheetId="2" r:id="R6bdf36e212a84f60"/>
    <x:sheet xmlns:r="http://schemas.openxmlformats.org/officeDocument/2006/relationships" name="3. This Week" sheetId="3" r:id="R3d5cdcab761248ca"/>
    <x:sheet xmlns:r="http://schemas.openxmlformats.org/officeDocument/2006/relationships" name="4. Money Plan" sheetId="4" r:id="Rd9b62d36e14a490d"/>
    <x:sheet xmlns:r="http://schemas.openxmlformats.org/officeDocument/2006/relationships" name="5. Savings &amp; Debt" sheetId="5" r:id="Rabbfabd2f0114dbe"/>
    <x:sheet xmlns:r="http://schemas.openxmlformats.org/officeDocument/2006/relationships" name="6. History" sheetId="6" r:id="Rfb86f398aff24cc3"/>
    <x:sheet xmlns:r="http://schemas.openxmlformats.org/officeDocument/2006/relationships" name="Support - Ledger" sheetId="7" r:id="R2b236d01cb8946b5"/>
    <x:sheet xmlns:r="http://schemas.openxmlformats.org/officeDocument/2006/relationships" name="Support - Budget Inputs" sheetId="8" r:id="R7b222af8d7e44e89"/>
    <x:sheet xmlns:r="http://schemas.openxmlformats.org/officeDocument/2006/relationships" name="Support - Funding Detail" sheetId="9" r:id="Rfd7788d394c74dff"/>
    <x:sheet xmlns:r="http://schemas.openxmlformats.org/officeDocument/2006/relationships" name="Support - Debt Detail" sheetId="10" r:id="R3fc0106e3fb040b0"/>
    <x:sheet xmlns:r="http://schemas.openxmlformats.org/officeDocument/2006/relationships" name="Support - Promo Detail" sheetId="11" r:id="R3079e3517b414031"/>
    <x:sheet xmlns:r="http://schemas.openxmlformats.org/officeDocument/2006/relationships" name="Support - Account Snapshots" sheetId="12" r:id="R300128cabed1444a"/>
    <x:sheet xmlns:r="http://schemas.openxmlformats.org/officeDocument/2006/relationships" name="Support - Pending Review" sheetId="13" r:id="R5e5c740167cb400b"/>
    <x:sheet xmlns:r="http://schemas.openxmlformats.org/officeDocument/2006/relationships" name="Support - Rules" sheetId="14" r:id="Raf532aa1deb34965"/>
    <x:sheet xmlns:r="http://schemas.openxmlformats.org/officeDocument/2006/relationships" name="Support - Sources" sheetId="15" r:id="Rf1bb359141a74d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5d10c93d44989" /><Relationship Type="http://schemas.openxmlformats.org/officeDocument/2006/relationships/theme" Target="/xl/theme/theme1.xml" Id="Rc046c9c793a44a43" /><Relationship Type="http://schemas.openxmlformats.org/officeDocument/2006/relationships/sharedStrings" Target="/xl/sharedStrings.xml" Id="R7b7d4c5018a44212" /><Relationship Type="http://schemas.openxmlformats.org/officeDocument/2006/relationships/worksheet" Target="/xl/worksheets/sheet1.xml" Id="R0d58d46c8b0c4216" /><Relationship Type="http://schemas.openxmlformats.org/officeDocument/2006/relationships/worksheet" Target="/xl/worksheets/sheet2.xml" Id="R6bdf36e212a84f60" /><Relationship Type="http://schemas.openxmlformats.org/officeDocument/2006/relationships/worksheet" Target="/xl/worksheets/sheet3.xml" Id="R3d5cdcab761248ca" /><Relationship Type="http://schemas.openxmlformats.org/officeDocument/2006/relationships/worksheet" Target="/xl/worksheets/sheet4.xml" Id="Rd9b62d36e14a490d" /><Relationship Type="http://schemas.openxmlformats.org/officeDocument/2006/relationships/worksheet" Target="/xl/worksheets/sheet5.xml" Id="Rabbfabd2f0114dbe" /><Relationship Type="http://schemas.openxmlformats.org/officeDocument/2006/relationships/worksheet" Target="/xl/worksheets/sheet6.xml" Id="Rfb86f398aff24cc3" /><Relationship Type="http://schemas.openxmlformats.org/officeDocument/2006/relationships/worksheet" Target="/xl/worksheets/sheet7.xml" Id="R2b236d01cb8946b5" /><Relationship Type="http://schemas.openxmlformats.org/officeDocument/2006/relationships/worksheet" Target="/xl/worksheets/sheet8.xml" Id="R7b222af8d7e44e89" /><Relationship Type="http://schemas.openxmlformats.org/officeDocument/2006/relationships/worksheet" Target="/xl/worksheets/sheet9.xml" Id="Rfd7788d394c74dff" /><Relationship Type="http://schemas.openxmlformats.org/officeDocument/2006/relationships/worksheet" Target="/xl/worksheets/sheet10.xml" Id="R3fc0106e3fb040b0" /><Relationship Type="http://schemas.openxmlformats.org/officeDocument/2006/relationships/worksheet" Target="/xl/worksheets/sheet11.xml" Id="R3079e3517b414031" /><Relationship Type="http://schemas.openxmlformats.org/officeDocument/2006/relationships/worksheet" Target="/xl/worksheets/sheet12.xml" Id="R300128cabed1444a" /><Relationship Type="http://schemas.openxmlformats.org/officeDocument/2006/relationships/worksheet" Target="/xl/worksheets/sheet13.xml" Id="R5e5c740167cb400b" /><Relationship Type="http://schemas.openxmlformats.org/officeDocument/2006/relationships/worksheet" Target="/xl/worksheets/sheet14.xml" Id="Raf532aa1deb34965" /><Relationship Type="http://schemas.openxmlformats.org/officeDocument/2006/relationships/worksheet" Target="/xl/worksheets/sheet15.xml" Id="Rf1bb359141a74d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Verified</x:v>
      </x:c>
      <x:c r="F7" s="406" t="str">
        <x:v>Wealthfront</x:v>
      </x:c>
      <x:c r="G7" s="406" t="str">
        <x:v>Sep 14 · Wells Fargo IFI · +$300.00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Verified</x:v>
      </x:c>
      <x:c r="F8" s="406" t="str">
        <x:v>Chase Sapphire</x:v>
      </x:c>
      <x:c r="G8" s="406" t="str">
        <x:v>Sep 13 · Invincible AppCharge · $91.79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Verified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Verified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Verified</x:v>
      </x:c>
      <x:c r="F13" s="406" t="str">
        <x:v>PayPal Credit</x:v>
      </x:c>
      <x:c r="G13" s="406" t="str">
        <x:v>Sep 10 · payment · $148.62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8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13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Payment and Funding Plan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checklist after Start is verified. Change Check off to ☑ Done as you complete a manual payment. Auto — no click requires no Tuesday action but remains in the cash plan.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6 of 8 source sets verified</x:v>
      </x:c>
      <x:c r="B6" s="458" t="str">
        <x:v>Sep 1–Sep 7 purchases</x:v>
      </x:c>
      <x:c r="C6" s="458" t="str">
        <x:f>COUNTIFS(F9:F21,"Manual",E9:E21,"☑ Done")&amp;" / "&amp;COUNTIF(F9:F21,"Manual")&amp;" manual payments complete"</x:f>
        <x:v>5 / 7 manual payments complete</x:v>
      </x:c>
      <x:c r="D6" s="458" t="str">
        <x:v>Await remaining imports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Discover card</x:v>
      </x:c>
      <x:c r="C11" s="423" t="str">
        <x:v>$48.27 carried-forward balance to pay</x:v>
      </x:c>
      <x:c r="D11" s="468" t="n">
        <x:v>48.27</x:v>
      </x:c>
      <x:c r="E11" s="460" t="str">
        <x:v>☐ Pay now</x:v>
      </x:c>
      <x:c r="F11" s="461" t="str">
        <x:v>Manual</x:v>
      </x:c>
      <x:c r="G11" s="423" t="str">
        <x:v>User-confirmed amount owed; latest screenshot showed this charge pending, so confirm it can be paid before submitting</x:v>
      </x:c>
    </x:row>
    <x:row r="12" ht="28" customHeight="1">
      <x:c r="A12" s="423" t="str">
        <x:v>Card payment</x:v>
      </x:c>
      <x:c r="B12" s="423" t="str">
        <x:v>Prime Visa</x:v>
      </x:c>
      <x:c r="C12" s="423" t="str">
        <x:v>No balance due</x:v>
      </x:c>
      <x:c r="D12" s="468" t="n">
        <x:v>0</x:v>
      </x:c>
      <x:c r="E12" s="460" t="str">
        <x:v>— Not due</x:v>
      </x:c>
      <x:c r="F12" s="461" t="str">
        <x:v>Not due</x:v>
      </x:c>
      <x:c r="G12" s="423" t="str">
        <x:v>No payment needed</x:v>
      </x:c>
    </x:row>
    <x:row r="13" ht="28" customHeight="1">
      <x:c r="A13" s="423" t="str">
        <x:v>Card payment</x:v>
      </x:c>
      <x:c r="B13" s="423" t="str">
        <x:v>Capital One</x:v>
      </x:c>
      <x:c r="C13" s="423" t="str">
        <x:v>No balance due</x:v>
      </x:c>
      <x:c r="D13" s="468" t="n">
        <x:v>0</x:v>
      </x:c>
      <x:c r="E13" s="460" t="str">
        <x:v>— Not due</x:v>
      </x:c>
      <x:c r="F13" s="461" t="str">
        <x:v>Not due</x:v>
      </x:c>
      <x:c r="G13" s="423" t="str">
        <x:v>No payment needed</x:v>
      </x:c>
    </x:row>
    <x:row r="14" ht="28" customHeight="1">
      <x:c r="A14" s="423" t="str">
        <x:v>Debt payment</x:v>
      </x:c>
      <x:c r="B14" s="423" t="str">
        <x:v>PayPal promotional payoff</x:v>
      </x:c>
      <x:c r="C14" s="423" t="str">
        <x:v>Stage 1 payoff target</x:v>
      </x:c>
      <x:c r="D14" s="468" t="n">
        <x:f>'Support - Promo Detail'!F12</x:f>
        <x:v>148.615</x:v>
      </x:c>
      <x:c r="E14" s="460" t="str">
        <x:v>☑ Done</x:v>
      </x:c>
      <x:c r="F14" s="461" t="str">
        <x:v>Manual</x:v>
      </x:c>
      <x:c r="G14" s="423" t="str">
        <x:v>Five weekly payments remain before Oct. 10</x:v>
      </x:c>
    </x:row>
    <x:row r="15" ht="28" customHeight="1">
      <x:c r="A15" s="423" t="str">
        <x:v>Transfer</x:v>
      </x:c>
      <x:c r="B15" s="423" t="str">
        <x:v>Rent fund — October</x:v>
      </x:c>
      <x:c r="C15" s="423" t="str">
        <x:v>Actual Sep. 9 funding retained</x:v>
      </x:c>
      <x:c r="D15" s="468" t="n">
        <x:v>178.49169230769235</x:v>
      </x:c>
      <x:c r="E15" s="460" t="str">
        <x:v>☑ Done</x:v>
      </x:c>
      <x:c r="F15" s="461" t="str">
        <x:v>Manual</x:v>
      </x:c>
      <x:c r="G15" s="423" t="str">
        <x:v>Actual Sep. 9 transfer retained; do not revise this completed funding amount</x:v>
      </x:c>
    </x:row>
    <x:row r="16" ht="28" customHeight="1">
      <x:c r="A16" s="423" t="str">
        <x:v>Transfer</x:v>
      </x:c>
      <x:c r="B16" s="423" t="str">
        <x:v>Car fund / CUTX</x:v>
      </x:c>
      <x:c r="C16" s="423" t="str">
        <x:v>Weekly reserve toward Sep. 27 due date</x:v>
      </x:c>
      <x:c r="D16" s="468" t="n">
        <x:f>'Support - Budget Inputs'!E13</x:f>
        <x:v>172.26230769230767</x:v>
      </x:c>
      <x:c r="E16" s="460" t="str">
        <x:v>☑ Done</x:v>
      </x:c>
      <x:c r="F16" s="461" t="str">
        <x:v>Manual</x:v>
      </x:c>
      <x:c r="G16" s="423" t="str">
        <x:v>Move to CUTX reserve; do not pay the loan early</x:v>
      </x:c>
    </x:row>
    <x:row r="17" ht="28" customHeight="1">
      <x:c r="A17" s="423" t="str">
        <x:v>Automatic</x:v>
      </x:c>
      <x:c r="B17" s="423" t="str">
        <x:v>Fidelity Roth IRA</x:v>
      </x:c>
      <x:c r="C17" s="423" t="str">
        <x:v>Pending; already in Wells available balance</x:v>
      </x:c>
      <x:c r="D17" s="468" t="n">
        <x:v>75</x:v>
      </x:c>
      <x:c r="E17" s="460" t="str">
        <x:v>Auto — no click</x:v>
      </x:c>
      <x:c r="F17" s="461" t="str">
        <x:v>Automatic</x:v>
      </x:c>
      <x:c r="G17" s="423" t="str">
        <x:v>Do not count again in cash required</x:v>
      </x:c>
    </x:row>
    <x:row r="18" ht="28" customHeight="1">
      <x:c r="A18" s="423" t="str">
        <x:v>Automatic</x:v>
      </x:c>
      <x:c r="B18" s="423" t="str">
        <x:v>PayPal cruise savings</x:v>
      </x:c>
      <x:c r="C18" s="423" t="str">
        <x:v>Flexible savings contribution</x:v>
      </x:c>
      <x:c r="D18" s="468" t="n">
        <x:v>85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Automatic</x:v>
      </x:c>
      <x:c r="B19" s="423" t="str">
        <x:v>PayPal tuition savings</x:v>
      </x:c>
      <x:c r="C19" s="423" t="str">
        <x:v>Weekly scheduled transfer</x:v>
      </x:c>
      <x:c r="D19" s="468" t="n">
        <x:v>193.36</x:v>
      </x:c>
      <x:c r="E19" s="460" t="str">
        <x:v>Auto — no click</x:v>
      </x:c>
      <x:c r="F19" s="461" t="str">
        <x:v>Automatic</x:v>
      </x:c>
      <x:c r="G19" s="423" t="str">
        <x:v>Automatic commitment; included in cash required</x:v>
      </x:c>
    </x:row>
    <x:row r="20" ht="28" customHeight="1">
      <x:c r="A20" s="423" t="str">
        <x:v>Automatic</x:v>
      </x:c>
      <x:c r="B20" s="423" t="str">
        <x:v>PayPal future-expenses savings</x:v>
      </x:c>
      <x:c r="C20" s="423" t="str">
        <x:v>Flexible savings contribution</x:v>
      </x:c>
      <x:c r="D20" s="468" t="n">
        <x:v>50</x:v>
      </x:c>
      <x:c r="E20" s="460" t="str">
        <x:v>Auto — no click</x:v>
      </x:c>
      <x:c r="F20" s="461" t="str">
        <x:v>Automatic</x:v>
      </x:c>
      <x:c r="G20" s="423" t="str">
        <x:v>Automatic commitment; included in cash required</x:v>
      </x:c>
    </x:row>
    <x:row r="21" ht="28" customHeight="1">
      <x:c r="A21" s="423" t="str">
        <x:v>Transfer</x:v>
      </x:c>
      <x:c r="B21" s="423" t="str">
        <x:v>Wealthfront to Wells</x:v>
      </x:c>
      <x:c r="C21" s="423" t="str">
        <x:v>Cover a remaining cash shortfall</x:v>
      </x:c>
      <x:c r="D21" s="468" t="n">
        <x:f>MAX(0,E23+E25-E24)</x:f>
        <x:v>48.269000000000005</x:v>
      </x:c>
      <x:c r="E21" s="460" t="str">
        <x:v>☐ Pay now</x:v>
      </x:c>
      <x:c r="F21" s="461" t="str">
        <x:v>Manual</x:v>
      </x:c>
      <x:c r="G21" s="423" t="str">
        <x:f>IF(D21=0,"No transfer needed after net rent funding","Additional funding required after adding Discover")</x:f>
        <x:v>Additional funding required after adding Discover</x:v>
      </x:c>
    </x:row>
    <x:row r="22">
      <x:c r="A22" s="458" t="str">
        <x:v>Planned subtotal (cash actions)</x:v>
      </x:c>
      <x:c r="B22" s="458"/>
      <x:c r="C22" s="458"/>
      <x:c r="D22" s="462" t="n">
        <x:f>SUM(D9:D16,D18:D20)</x:f>
        <x:v>1275.049</x:v>
      </x:c>
      <x:c r="E22" s="423"/>
      <x:c r="F22" s="423"/>
      <x:c r="G22" s="423"/>
    </x:row>
    <x:row r="23">
      <x:c r="A23" s="463" t="str">
        <x:v>Cash required for payments and transfers</x:v>
      </x:c>
      <x:c r="B23" s="463"/>
      <x:c r="C23" s="463"/>
      <x:c r="D23" s="463"/>
      <x:c r="E23" s="469" t="n">
        <x:f>SUM(D9:D16,D18:D20)</x:f>
        <x:v>1275.049</x:v>
      </x:c>
      <x:c r="F23" s="423"/>
      <x:c r="G23" s="423"/>
    </x:row>
    <x:row r="24">
      <x:c r="A24" s="463" t="str">
        <x:v>Wells available now after pending Fidelity</x:v>
      </x:c>
      <x:c r="B24" s="463"/>
      <x:c r="C24" s="463"/>
      <x:c r="D24" s="463"/>
      <x:c r="E24" s="470" t="n">
        <x:v>1227.78</x:v>
      </x:c>
      <x:c r="F24" s="423"/>
      <x:c r="G24" s="423"/>
    </x:row>
    <x:row r="25">
      <x:c r="A25" s="466" t="str">
        <x:v>Minimum Wells balance after all actions</x:v>
      </x:c>
      <x:c r="B25" s="466"/>
      <x:c r="C25" s="466"/>
      <x:c r="D25" s="466"/>
      <x:c r="E25" s="470" t="n">
        <x:v>1</x:v>
      </x:c>
      <x:c r="F25" s="423"/>
      <x:c r="G25" s="423"/>
    </x:row>
    <x:row r="26">
      <x:c r="A26" s="463" t="str">
        <x:v>Move from Wealthfront to Wells if needed</x:v>
      </x:c>
      <x:c r="B26" s="463"/>
      <x:c r="C26" s="463"/>
      <x:c r="D26" s="463"/>
      <x:c r="E26" s="471" t="n">
        <x:f>D21</x:f>
        <x:v>48.269000000000005</x:v>
      </x:c>
      <x:c r="F26" s="423"/>
      <x:c r="G26" s="423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8" t="n">
        <x:v>46273</x:v>
      </x:c>
      <x:c r="C3" s="423"/>
      <x:c r="D3" s="423" t="str">
        <x:v>Week ends</x:v>
      </x:c>
      <x:c r="E3" s="479" t="n">
        <x:f>B3+6</x:f>
        <x:v>46279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0" t="n">
        <x:f>'Support - Budget Inputs'!E23</x:f>
        <x:v>79.77692307692307</x:v>
      </x:c>
      <x:c r="C6" s="480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80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0" t="n">
        <x:f>C6+D6</x:f>
        <x:v>0</x:v>
      </x:c>
      <x:c r="F6" s="480" t="n">
        <x:f>IF(B6=0,"",B6-E6)</x:f>
        <x:v>79.77692307692307</x:v>
      </x:c>
      <x:c r="G6" s="423" t="str">
        <x:f>IF(B6=0,"No target set",IF(E6=0,"No activity",IF(F6&lt;0,"Over plan","On track")))</x:f>
        <x:v>No activity</x:v>
      </x:c>
    </x:row>
    <x:row r="7" ht="24" customHeight="1">
      <x:c r="A7" s="423" t="str">
        <x:v>DoorDash</x:v>
      </x:c>
      <x:c r="B7" s="480" t="n">
        <x:f>'Support - Budget Inputs'!E24</x:f>
        <x:v>25</x:v>
      </x:c>
      <x:c r="C7" s="480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0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80" t="n">
        <x:f>C7+D7</x:f>
        <x:v>20.91</x:v>
      </x:c>
      <x:c r="F7" s="480" t="n">
        <x:f>IF(B7=0,"",B7-E7)</x:f>
        <x:v>4.09</x:v>
      </x:c>
      <x:c r="G7" s="423" t="str">
        <x:f>IF(B7=0,"No target set",IF(E7=0,"No activity",IF(F7&lt;0,"Over plan","On track")))</x:f>
        <x:v>On track</x:v>
      </x:c>
    </x:row>
    <x:row r="8" ht="24" customHeight="1">
      <x:c r="A8" s="423" t="str">
        <x:v>Starbucks</x:v>
      </x:c>
      <x:c r="B8" s="480" t="n">
        <x:f>'Support - Budget Inputs'!E28</x:f>
        <x:v>30</x:v>
      </x:c>
      <x:c r="C8" s="480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80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80" t="n">
        <x:f>C8+D8</x:f>
        <x:v>58.42</x:v>
      </x:c>
      <x:c r="F8" s="480" t="n">
        <x:f>IF(B8=0,"",B8-E8)</x:f>
        <x:v>-28.42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0" t="n">
        <x:f>'Support - Budget Inputs'!E19</x:f>
        <x:v>50</x:v>
      </x:c>
      <x:c r="C9" s="480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80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0" t="n">
        <x:f>C9+D9</x:f>
        <x:v>227.27000000000004</x:v>
      </x:c>
      <x:c r="F9" s="480" t="n">
        <x:f>IF(B9=0,"",B9-E9)</x:f>
        <x:v>-177.27000000000004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0" t="n">
        <x:f>'Support - Budget Inputs'!E29</x:f>
        <x:v>10</x:v>
      </x:c>
      <x:c r="C10" s="480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80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80" t="n">
        <x:f>C10+D10</x:f>
        <x:v>5.64</x:v>
      </x:c>
      <x:c r="F10" s="480" t="n">
        <x:f>IF(B10=0,"",B10-E10)</x:f>
        <x:v>4.36</x:v>
      </x:c>
      <x:c r="G10" s="423" t="str">
        <x:f>IF(B10=0,"No target set",IF(E10=0,"No activity",IF(F10&lt;0,"Over plan","On track")))</x:f>
        <x:v>On track</x:v>
      </x:c>
    </x:row>
    <x:row r="11" ht="24" customHeight="1">
      <x:c r="A11" s="423" t="str">
        <x:v>Shopping / personal care</x:v>
      </x:c>
      <x:c r="B11" s="480" t="n">
        <x:f>'Support - Budget Inputs'!E30</x:f>
        <x:v>50</x:v>
      </x:c>
      <x:c r="C11" s="480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80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0" t="n">
        <x:f>C11+D11</x:f>
        <x:v>0</x:v>
      </x:c>
      <x:c r="F11" s="480" t="n">
        <x:f>IF(B11=0,"",B11-E11)</x:f>
        <x:v>50</x:v>
      </x:c>
      <x:c r="G11" s="423" t="str">
        <x:f>IF(B11=0,"No target set",IF(E11=0,"No activity",IF(F11&lt;0,"Over plan","On track")))</x:f>
        <x:v>No activity</x:v>
      </x:c>
    </x:row>
    <x:row r="12" ht="24" customHeight="1">
      <x:c r="A12" s="423" t="str">
        <x:v>Vapes</x:v>
      </x:c>
      <x:c r="B12" s="480" t="n">
        <x:f>'Support - Budget Inputs'!E31</x:f>
        <x:v>30</x:v>
      </x:c>
      <x:c r="C12" s="480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0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0" t="n">
        <x:f>C12+D12</x:f>
        <x:v>0</x:v>
      </x:c>
      <x:c r="F12" s="480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0" t="n">
        <x:f>'Support - Budget Inputs'!E25</x:f>
        <x:v>80.76923076923077</x:v>
      </x:c>
      <x:c r="C13" s="480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80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80" t="n">
        <x:f>C13+D13</x:f>
        <x:v>173.63</x:v>
      </x:c>
      <x:c r="F13" s="480" t="n">
        <x:f>IF(B13=0,"",B13-E13)</x:f>
        <x:v>-92.86076923076922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0" t="n">
        <x:f>'Support - Budget Inputs'!E26</x:f>
        <x:v>47.48076923076923</x:v>
      </x:c>
      <x:c r="C14" s="480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0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80" t="n">
        <x:f>C14+D14</x:f>
        <x:v>48.27</x:v>
      </x:c>
      <x:c r="F14" s="480" t="n">
        <x:f>IF(B14=0,"",B14-E14)</x:f>
        <x:v>-0.7892307692307696</x:v>
      </x:c>
      <x:c r="G14" s="423" t="str">
        <x:f>IF(B14=0,"No target set",IF(E14=0,"No activity",IF(F14&lt;0,"Over plan","On track")))</x:f>
        <x:v>Over plan</x:v>
      </x:c>
    </x:row>
    <x:row r="15" ht="24" customHeight="1">
      <x:c r="A15" s="423" t="str">
        <x:v>Electricity</x:v>
      </x:c>
      <x:c r="B15" s="480" t="n">
        <x:f>'Support - Budget Inputs'!E14</x:f>
        <x:v>15.166153846153845</x:v>
      </x:c>
      <x:c r="C15" s="480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0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0" t="n">
        <x:f>C15+D15</x:f>
        <x:v>0</x:v>
      </x:c>
      <x:c r="F15" s="480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0" t="n">
        <x:f>'Support - Budget Inputs'!E16</x:f>
        <x:v>25.51846153846154</x:v>
      </x:c>
      <x:c r="C16" s="480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0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0" t="n">
        <x:f>C16+D16</x:f>
        <x:v>0</x:v>
      </x:c>
      <x:c r="F16" s="480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0" t="n">
        <x:f>SUM('Support - Budget Inputs'!E15,'Support - Budget Inputs'!E17)</x:f>
        <x:v>21.692307692307693</x:v>
      </x:c>
      <x:c r="C17" s="480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80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0" t="n">
        <x:f>C17+D17</x:f>
        <x:v>0</x:v>
      </x:c>
      <x:c r="F17" s="480" t="n">
        <x:f>IF(B17=0,"",B17-E17)</x:f>
        <x:v>21.692307692307693</x:v>
      </x:c>
      <x:c r="G17" s="423" t="str">
        <x:f>IF(B17=0,"No target set",IF(E17=0,"No activity",IF(F17&lt;0,"Over plan","On track")))</x:f>
        <x:v>No activity</x:v>
      </x:c>
    </x:row>
    <x:row r="18" ht="24" customHeight="1">
      <x:c r="A18" s="423" t="str">
        <x:v>Subscriptions</x:v>
      </x:c>
      <x:c r="B18" s="480" t="n">
        <x:f>'Support - Budget Inputs'!E18</x:f>
        <x:v>11.256923076923076</x:v>
      </x:c>
      <x:c r="C18" s="480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80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0" t="n">
        <x:f>C18+D18</x:f>
        <x:v>0</x:v>
      </x:c>
      <x:c r="F18" s="480" t="n">
        <x:f>IF(B18=0,"",B18-E18)</x:f>
        <x:v>11.256923076923076</x:v>
      </x:c>
      <x:c r="G18" s="423" t="str">
        <x:f>IF(B18=0,"No target set",IF(E18=0,"No activity",IF(F18&lt;0,"Over plan","On track")))</x:f>
        <x:v>No activity</x:v>
      </x:c>
    </x:row>
    <x:row r="19" ht="24" customHeight="1">
      <x:c r="A19" s="423" t="str">
        <x:v>Automotive</x:v>
      </x:c>
      <x:c r="B19" s="480" t="n">
        <x:f>0</x:f>
        <x:v>0</x:v>
      </x:c>
      <x:c r="C19" s="480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80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80" t="n">
        <x:f>C19+D19</x:f>
        <x:v>11.99</x:v>
      </x:c>
      <x:c r="F19" s="480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0" t="n">
        <x:f>0</x:f>
        <x:v>0</x:v>
      </x:c>
      <x:c r="C20" s="480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80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0" t="n">
        <x:f>C20+D20</x:f>
        <x:v>0</x:v>
      </x:c>
      <x:c r="F20" s="480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0" t="n">
        <x:f>0</x:f>
        <x:v>0</x:v>
      </x:c>
      <x:c r="C21" s="480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0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0" t="n">
        <x:f>C21+D21</x:f>
        <x:v>0</x:v>
      </x:c>
      <x:c r="F21" s="480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0"/>
      <x:c r="C22" s="480"/>
      <x:c r="D22" s="480"/>
      <x:c r="E22" s="480"/>
      <x:c r="F22" s="480"/>
      <x:c r="G22" s="423"/>
    </x:row>
    <x:row r="23" ht="27" customHeight="1">
      <x:c r="A23" s="481" t="str">
        <x:v>All tracked spending</x:v>
      </x:c>
      <x:c r="B23" s="482" t="n">
        <x:f>SUM(B6:B21)</x:f>
        <x:v>476.6607692307693</x:v>
      </x:c>
      <x:c r="C23" s="482" t="n">
        <x:f>SUM(C6:C21)</x:f>
        <x:v>391.34000000000003</x:v>
      </x:c>
      <x:c r="D23" s="482" t="n">
        <x:f>SUM(D6:D21)</x:f>
        <x:v>154.79</x:v>
      </x:c>
      <x:c r="E23" s="482" t="n">
        <x:f>SUM(E6:E21)</x:f>
        <x:v>546.13</x:v>
      </x:c>
      <x:c r="F23" s="482" t="n">
        <x:f>B23-E23</x:f>
        <x:v>-69.4692307692307</x:v>
      </x:c>
      <x:c r="G23" s="481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7" t="str">
        <x:v>Transfer confirmation belongs in History after the following Tuesday’s account screens arrive. Keeping it out of this sheet makes this page one thing only: this Tuesday–Monday’s new-purchase limits.</x:v>
      </x:c>
      <x:c r="B25" s="477"/>
      <x:c r="C25" s="477"/>
      <x:c r="D25" s="477"/>
      <x:c r="E25" s="477"/>
      <x:c r="F25" s="477"/>
      <x:c r="G25" s="477"/>
    </x:row>
    <x:row r="26">
      <x:c r="A26" s="477"/>
      <x:c r="B26" s="477"/>
      <x:c r="C26" s="477"/>
      <x:c r="D26" s="477"/>
      <x:c r="E26" s="477"/>
      <x:c r="F26" s="477"/>
      <x:c r="G26" s="477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0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0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0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0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0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0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0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0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0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0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0" t="n">
        <x:f>'Support - Promo Detail'!F12</x:f>
        <x:v>148.615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0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0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0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0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0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0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0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1" t="str">
        <x:v>Total weekly allocation</x:v>
      </x:c>
      <x:c r="B23" s="508" t="n">
        <x:f>SUM(B5:B22)</x:f>
        <x:v>1531.6136692307691</x:v>
      </x:c>
      <x:c r="C23" s="481"/>
      <x:c r="D23" s="481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-188.24366923076923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12026.13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12246.13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11985.957700000003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260.17229999999654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0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0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0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0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1170.31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148.615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Review'!D15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79" t="n">
        <x:v>46266</x:v>
      </x:c>
      <x:c r="B5" s="479" t="n">
        <x:f>A5-7</x:f>
        <x:v>46259</x:v>
      </x:c>
      <x:c r="C5" s="479" t="n">
        <x:f>A5-1</x:f>
        <x:v>46265</x:v>
      </x:c>
      <x:c r="D5" s="480" t="n">
        <x:v>1583.08</x:v>
      </x:c>
      <x:c r="E5" s="480" t="n">
        <x:v>631.34</x:v>
      </x:c>
      <x:c r="F5" s="480" t="n">
        <x:v>2194.42</x:v>
      </x:c>
      <x:c r="G5" s="548" t="str">
        <x:v>Legacy — not source-audited</x:v>
      </x:c>
      <x:c r="H5" s="480" t="n">
        <x:v>435.52</x:v>
      </x:c>
      <x:c r="I5" s="480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0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0" t="n">
        <x:f>I5+J5</x:f>
        <x:v>1659.5900000000004</x:v>
      </x:c>
      <x:c r="L5" s="480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79" t="n">
        <x:v>46273</x:v>
      </x:c>
      <x:c r="B6" s="479" t="n">
        <x:f>A6-7</x:f>
        <x:v>46266</x:v>
      </x:c>
      <x:c r="C6" s="479" t="n">
        <x:f>A6-1</x:f>
        <x:v>46272</x:v>
      </x:c>
      <x:c r="D6" s="480" t="n">
        <x:v>1227.78</x:v>
      </x:c>
      <x:c r="E6" s="480" t="n">
        <x:v>0</x:v>
      </x:c>
      <x:c r="F6" s="480" t="n">
        <x:v>1226.78</x:v>
      </x:c>
      <x:c r="G6" s="548" t="str">
        <x:v>✓ Completed</x:v>
      </x:c>
      <x:c r="H6" s="480" t="n">
        <x:v>476.6607692307693</x:v>
      </x:c>
      <x:c r="I6" s="480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0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0" t="n">
        <x:f>I6+J6</x:f>
        <x:v>450.49</x:v>
      </x:c>
      <x:c r="L6" s="480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79" t="n">
        <x:v>46280</x:v>
      </x:c>
      <x:c r="B7" s="479" t="n">
        <x:f>A7-7</x:f>
        <x:v>46273</x:v>
      </x:c>
      <x:c r="C7" s="479" t="n">
        <x:f>A7-1</x:f>
        <x:v>46279</x:v>
      </x:c>
      <x:c r="D7" s="547"/>
      <x:c r="E7" s="547"/>
      <x:c r="F7" s="547"/>
      <x:c r="G7" s="548"/>
      <x:c r="H7" s="547"/>
      <x:c r="I7" s="480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80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80" t="n">
        <x:f>I7+J7</x:f>
        <x:v>569.6</x:v>
      </x:c>
      <x:c r="L7" s="480" t="str">
        <x:f>IF(H7="","",H7-K7)</x:f>
      </x:c>
      <x:c r="M7" s="548"/>
    </x:row>
    <x:row r="8" ht="22" customHeight="1">
      <x:c r="A8" s="479" t="n">
        <x:v>46287</x:v>
      </x:c>
      <x:c r="B8" s="479" t="n">
        <x:f>A8-7</x:f>
        <x:v>46280</x:v>
      </x:c>
      <x:c r="C8" s="479" t="n">
        <x:f>A8-1</x:f>
        <x:v>46286</x:v>
      </x:c>
      <x:c r="D8" s="547"/>
      <x:c r="E8" s="547"/>
      <x:c r="F8" s="547"/>
      <x:c r="G8" s="548"/>
      <x:c r="H8" s="547"/>
      <x:c r="I8" s="480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0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80" t="n">
        <x:f>I8+J8</x:f>
        <x:v>116.80999999999999</x:v>
      </x:c>
      <x:c r="L8" s="480" t="str">
        <x:f>IF(H8="","",H8-K8)</x:f>
      </x:c>
      <x:c r="M8" s="548"/>
    </x:row>
    <x:row r="9" ht="22" customHeight="1">
      <x:c r="A9" s="479" t="n">
        <x:v>46294</x:v>
      </x:c>
      <x:c r="B9" s="479" t="n">
        <x:f>A9-7</x:f>
        <x:v>46287</x:v>
      </x:c>
      <x:c r="C9" s="479" t="n">
        <x:f>A9-1</x:f>
        <x:v>46293</x:v>
      </x:c>
      <x:c r="D9" s="547"/>
      <x:c r="E9" s="547"/>
      <x:c r="F9" s="547"/>
      <x:c r="G9" s="548"/>
      <x:c r="H9" s="547"/>
      <x:c r="I9" s="480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0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0" t="n">
        <x:f>I9+J9</x:f>
        <x:v>0</x:v>
      </x:c>
      <x:c r="L9" s="480" t="str">
        <x:f>IF(H9="","",H9-K9)</x:f>
      </x:c>
      <x:c r="M9" s="548"/>
    </x:row>
    <x:row r="10" ht="22" customHeight="1">
      <x:c r="A10" s="479" t="n">
        <x:v>46301</x:v>
      </x:c>
      <x:c r="B10" s="479" t="n">
        <x:f>A10-7</x:f>
        <x:v>46294</x:v>
      </x:c>
      <x:c r="C10" s="479" t="n">
        <x:f>A10-1</x:f>
        <x:v>46300</x:v>
      </x:c>
      <x:c r="D10" s="547"/>
      <x:c r="E10" s="547"/>
      <x:c r="F10" s="547"/>
      <x:c r="G10" s="548"/>
      <x:c r="H10" s="547"/>
      <x:c r="I10" s="480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0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0" t="n">
        <x:f>I10+J10</x:f>
        <x:v>0</x:v>
      </x:c>
      <x:c r="L10" s="480" t="str">
        <x:f>IF(H10="","",H10-K10)</x:f>
      </x:c>
      <x:c r="M10" s="548"/>
    </x:row>
    <x:row r="11" ht="22" customHeight="1">
      <x:c r="A11" s="479" t="n">
        <x:v>46308</x:v>
      </x:c>
      <x:c r="B11" s="479" t="n">
        <x:f>A11-7</x:f>
        <x:v>46301</x:v>
      </x:c>
      <x:c r="C11" s="479" t="n">
        <x:f>A11-1</x:f>
        <x:v>46307</x:v>
      </x:c>
      <x:c r="D11" s="547"/>
      <x:c r="E11" s="547"/>
      <x:c r="F11" s="547"/>
      <x:c r="G11" s="548"/>
      <x:c r="H11" s="547"/>
      <x:c r="I11" s="480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0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0" t="n">
        <x:f>I11+J11</x:f>
        <x:v>0</x:v>
      </x:c>
      <x:c r="L11" s="480" t="str">
        <x:f>IF(H11="","",H11-K11)</x:f>
      </x:c>
      <x:c r="M11" s="548"/>
    </x:row>
    <x:row r="12" ht="22" customHeight="1">
      <x:c r="A12" s="479" t="n">
        <x:v>46315</x:v>
      </x:c>
      <x:c r="B12" s="479" t="n">
        <x:f>A12-7</x:f>
        <x:v>46308</x:v>
      </x:c>
      <x:c r="C12" s="479" t="n">
        <x:f>A12-1</x:f>
        <x:v>46314</x:v>
      </x:c>
      <x:c r="D12" s="547"/>
      <x:c r="E12" s="547"/>
      <x:c r="F12" s="547"/>
      <x:c r="G12" s="548"/>
      <x:c r="H12" s="547"/>
      <x:c r="I12" s="480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0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0" t="n">
        <x:f>I12+J12</x:f>
        <x:v>0</x:v>
      </x:c>
      <x:c r="L12" s="480" t="str">
        <x:f>IF(H12="","",H12-K12)</x:f>
      </x:c>
      <x:c r="M12" s="548"/>
    </x:row>
    <x:row r="13" ht="22" customHeight="1">
      <x:c r="A13" s="479" t="n">
        <x:v>46322</x:v>
      </x:c>
      <x:c r="B13" s="479" t="n">
        <x:f>A13-7</x:f>
        <x:v>46315</x:v>
      </x:c>
      <x:c r="C13" s="479" t="n">
        <x:f>A13-1</x:f>
        <x:v>46321</x:v>
      </x:c>
      <x:c r="D13" s="547"/>
      <x:c r="E13" s="547"/>
      <x:c r="F13" s="547"/>
      <x:c r="G13" s="548"/>
      <x:c r="H13" s="547"/>
      <x:c r="I13" s="480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0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0" t="n">
        <x:f>I13+J13</x:f>
        <x:v>0</x:v>
      </x:c>
      <x:c r="L13" s="480" t="str">
        <x:f>IF(H13="","",H13-K13)</x:f>
      </x:c>
      <x:c r="M13" s="548"/>
    </x:row>
    <x:row r="14" ht="22" customHeight="1">
      <x:c r="A14" s="479" t="n">
        <x:v>46329</x:v>
      </x:c>
      <x:c r="B14" s="479" t="n">
        <x:f>A14-7</x:f>
        <x:v>46322</x:v>
      </x:c>
      <x:c r="C14" s="479" t="n">
        <x:f>A14-1</x:f>
        <x:v>46328</x:v>
      </x:c>
      <x:c r="D14" s="547"/>
      <x:c r="E14" s="547"/>
      <x:c r="F14" s="547"/>
      <x:c r="G14" s="548"/>
      <x:c r="H14" s="547"/>
      <x:c r="I14" s="480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0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0" t="n">
        <x:f>I14+J14</x:f>
        <x:v>0</x:v>
      </x:c>
      <x:c r="L14" s="480" t="str">
        <x:f>IF(H14="","",H14-K14)</x:f>
      </x:c>
      <x:c r="M14" s="548"/>
    </x:row>
    <x:row r="15" ht="22" customHeight="1">
      <x:c r="A15" s="479" t="n">
        <x:v>46336</x:v>
      </x:c>
      <x:c r="B15" s="479" t="n">
        <x:f>A15-7</x:f>
        <x:v>46329</x:v>
      </x:c>
      <x:c r="C15" s="479" t="n">
        <x:f>A15-1</x:f>
        <x:v>46335</x:v>
      </x:c>
      <x:c r="D15" s="547"/>
      <x:c r="E15" s="547"/>
      <x:c r="F15" s="547"/>
      <x:c r="G15" s="548"/>
      <x:c r="H15" s="547"/>
      <x:c r="I15" s="480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0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0" t="n">
        <x:f>I15+J15</x:f>
        <x:v>0</x:v>
      </x:c>
      <x:c r="L15" s="480" t="str">
        <x:f>IF(H15="","",H15-K15)</x:f>
      </x:c>
      <x:c r="M15" s="548"/>
    </x:row>
    <x:row r="16" ht="22" customHeight="1">
      <x:c r="A16" s="479" t="n">
        <x:v>46343</x:v>
      </x:c>
      <x:c r="B16" s="479" t="n">
        <x:f>A16-7</x:f>
        <x:v>46336</x:v>
      </x:c>
      <x:c r="C16" s="479" t="n">
        <x:f>A16-1</x:f>
        <x:v>46342</x:v>
      </x:c>
      <x:c r="D16" s="547"/>
      <x:c r="E16" s="547"/>
      <x:c r="F16" s="547"/>
      <x:c r="G16" s="548"/>
      <x:c r="H16" s="547"/>
      <x:c r="I16" s="480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0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0" t="n">
        <x:f>I16+J16</x:f>
        <x:v>0</x:v>
      </x:c>
      <x:c r="L16" s="480" t="str">
        <x:f>IF(H16="","",H16-K16)</x:f>
      </x:c>
      <x:c r="M16" s="548"/>
    </x:row>
    <x:row r="17" ht="22" customHeight="1">
      <x:c r="A17" s="479" t="n">
        <x:v>46350</x:v>
      </x:c>
      <x:c r="B17" s="479" t="n">
        <x:f>A17-7</x:f>
        <x:v>46343</x:v>
      </x:c>
      <x:c r="C17" s="479" t="n">
        <x:f>A17-1</x:f>
        <x:v>46349</x:v>
      </x:c>
      <x:c r="D17" s="547"/>
      <x:c r="E17" s="547"/>
      <x:c r="F17" s="547"/>
      <x:c r="G17" s="548"/>
      <x:c r="H17" s="547"/>
      <x:c r="I17" s="480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0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0" t="n">
        <x:f>I17+J17</x:f>
        <x:v>0</x:v>
      </x:c>
      <x:c r="L17" s="480" t="str">
        <x:f>IF(H17="","",H17-K17)</x:f>
      </x:c>
      <x:c r="M17" s="548"/>
    </x:row>
    <x:row r="18" ht="22" customHeight="1">
      <x:c r="A18" s="479" t="n">
        <x:v>46357</x:v>
      </x:c>
      <x:c r="B18" s="479" t="n">
        <x:f>A18-7</x:f>
        <x:v>46350</x:v>
      </x:c>
      <x:c r="C18" s="479" t="n">
        <x:f>A18-1</x:f>
        <x:v>46356</x:v>
      </x:c>
      <x:c r="D18" s="547"/>
      <x:c r="E18" s="547"/>
      <x:c r="F18" s="547"/>
      <x:c r="G18" s="548"/>
      <x:c r="H18" s="547"/>
      <x:c r="I18" s="480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0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0" t="n">
        <x:f>I18+J18</x:f>
        <x:v>0</x:v>
      </x:c>
      <x:c r="L18" s="480" t="str">
        <x:f>IF(H18="","",H18-K18)</x:f>
      </x:c>
      <x:c r="M18" s="548"/>
    </x:row>
    <x:row r="19" ht="22" customHeight="1">
      <x:c r="A19" s="479" t="n">
        <x:v>46364</x:v>
      </x:c>
      <x:c r="B19" s="479" t="n">
        <x:f>A19-7</x:f>
        <x:v>46357</x:v>
      </x:c>
      <x:c r="C19" s="479" t="n">
        <x:f>A19-1</x:f>
        <x:v>46363</x:v>
      </x:c>
      <x:c r="D19" s="547"/>
      <x:c r="E19" s="547"/>
      <x:c r="F19" s="547"/>
      <x:c r="G19" s="548"/>
      <x:c r="H19" s="547"/>
      <x:c r="I19" s="480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0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0" t="n">
        <x:f>I19+J19</x:f>
        <x:v>0</x:v>
      </x:c>
      <x:c r="L19" s="480" t="str">
        <x:f>IF(H19="","",H19-K19)</x:f>
      </x:c>
      <x:c r="M19" s="548"/>
    </x:row>
    <x:row r="20" ht="22" customHeight="1">
      <x:c r="A20" s="479" t="n">
        <x:v>46371</x:v>
      </x:c>
      <x:c r="B20" s="479" t="n">
        <x:f>A20-7</x:f>
        <x:v>46364</x:v>
      </x:c>
      <x:c r="C20" s="479" t="n">
        <x:f>A20-1</x:f>
        <x:v>46370</x:v>
      </x:c>
      <x:c r="D20" s="547"/>
      <x:c r="E20" s="547"/>
      <x:c r="F20" s="547"/>
      <x:c r="G20" s="548"/>
      <x:c r="H20" s="547"/>
      <x:c r="I20" s="480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0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0" t="n">
        <x:f>I20+J20</x:f>
        <x:v>0</x:v>
      </x:c>
      <x:c r="L20" s="480" t="str">
        <x:f>IF(H20="","",H20-K20)</x:f>
      </x:c>
      <x:c r="M20" s="548"/>
    </x:row>
    <x:row r="21" ht="22" customHeight="1">
      <x:c r="A21" s="479" t="n">
        <x:v>46378</x:v>
      </x:c>
      <x:c r="B21" s="479" t="n">
        <x:f>A21-7</x:f>
        <x:v>46371</x:v>
      </x:c>
      <x:c r="C21" s="479" t="n">
        <x:f>A21-1</x:f>
        <x:v>46377</x:v>
      </x:c>
      <x:c r="D21" s="547"/>
      <x:c r="E21" s="547"/>
      <x:c r="F21" s="547"/>
      <x:c r="G21" s="548"/>
      <x:c r="H21" s="547"/>
      <x:c r="I21" s="480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0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0" t="n">
        <x:f>I21+J21</x:f>
        <x:v>0</x:v>
      </x:c>
      <x:c r="L21" s="480" t="str">
        <x:f>IF(H21="","",H21-K21)</x:f>
      </x:c>
      <x:c r="M21" s="548"/>
    </x:row>
    <x:row r="22" ht="22" customHeight="1">
      <x:c r="A22" s="479" t="n">
        <x:v>46385</x:v>
      </x:c>
      <x:c r="B22" s="479" t="n">
        <x:f>A22-7</x:f>
        <x:v>46378</x:v>
      </x:c>
      <x:c r="C22" s="479" t="n">
        <x:f>A22-1</x:f>
        <x:v>46384</x:v>
      </x:c>
      <x:c r="D22" s="547"/>
      <x:c r="E22" s="547"/>
      <x:c r="F22" s="547"/>
      <x:c r="G22" s="548"/>
      <x:c r="H22" s="547"/>
      <x:c r="I22" s="480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0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0" t="n">
        <x:f>I22+J22</x:f>
        <x:v>0</x:v>
      </x:c>
      <x:c r="L22" s="480" t="str">
        <x:f>IF(H22="","",H22-K22)</x:f>
      </x:c>
      <x:c r="M22" s="548"/>
    </x:row>
    <x:row r="23" ht="22" customHeight="1">
      <x:c r="A23" s="479" t="n">
        <x:v>46392</x:v>
      </x:c>
      <x:c r="B23" s="479" t="n">
        <x:f>A23-7</x:f>
        <x:v>46385</x:v>
      </x:c>
      <x:c r="C23" s="479" t="n">
        <x:f>A23-1</x:f>
        <x:v>46391</x:v>
      </x:c>
      <x:c r="D23" s="547"/>
      <x:c r="E23" s="547"/>
      <x:c r="F23" s="547"/>
      <x:c r="G23" s="548"/>
      <x:c r="H23" s="547"/>
      <x:c r="I23" s="480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0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0" t="n">
        <x:f>I23+J23</x:f>
        <x:v>0</x:v>
      </x:c>
      <x:c r="L23" s="480" t="str">
        <x:f>IF(H23="","",H23-K23)</x:f>
      </x:c>
      <x:c r="M23" s="548"/>
    </x:row>
    <x:row r="24" ht="22" customHeight="1">
      <x:c r="A24" s="479" t="n">
        <x:v>46399</x:v>
      </x:c>
      <x:c r="B24" s="479" t="n">
        <x:f>A24-7</x:f>
        <x:v>46392</x:v>
      </x:c>
      <x:c r="C24" s="479" t="n">
        <x:f>A24-1</x:f>
        <x:v>46398</x:v>
      </x:c>
      <x:c r="D24" s="547"/>
      <x:c r="E24" s="547"/>
      <x:c r="F24" s="547"/>
      <x:c r="G24" s="548"/>
      <x:c r="H24" s="547"/>
      <x:c r="I24" s="480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0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0" t="n">
        <x:f>I24+J24</x:f>
        <x:v>0</x:v>
      </x:c>
      <x:c r="L24" s="480" t="str">
        <x:f>IF(H24="","",H24-K24)</x:f>
      </x:c>
      <x:c r="M24" s="548"/>
    </x:row>
    <x:row r="25" ht="22" customHeight="1">
      <x:c r="A25" s="479" t="n">
        <x:v>46406</x:v>
      </x:c>
      <x:c r="B25" s="479" t="n">
        <x:f>A25-7</x:f>
        <x:v>46399</x:v>
      </x:c>
      <x:c r="C25" s="479" t="n">
        <x:f>A25-1</x:f>
        <x:v>46405</x:v>
      </x:c>
      <x:c r="D25" s="547"/>
      <x:c r="E25" s="547"/>
      <x:c r="F25" s="547"/>
      <x:c r="G25" s="548"/>
      <x:c r="H25" s="547"/>
      <x:c r="I25" s="480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0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0" t="n">
        <x:f>I25+J25</x:f>
        <x:v>0</x:v>
      </x:c>
      <x:c r="L25" s="480" t="str">
        <x:f>IF(H25="","",H25-K25)</x:f>
      </x:c>
      <x:c r="M25" s="548"/>
    </x:row>
    <x:row r="26" ht="22" customHeight="1">
      <x:c r="A26" s="479" t="n">
        <x:v>46413</x:v>
      </x:c>
      <x:c r="B26" s="479" t="n">
        <x:f>A26-7</x:f>
        <x:v>46406</x:v>
      </x:c>
      <x:c r="C26" s="479" t="n">
        <x:f>A26-1</x:f>
        <x:v>46412</x:v>
      </x:c>
      <x:c r="D26" s="547"/>
      <x:c r="E26" s="547"/>
      <x:c r="F26" s="547"/>
      <x:c r="G26" s="548"/>
      <x:c r="H26" s="547"/>
      <x:c r="I26" s="480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0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0" t="n">
        <x:f>I26+J26</x:f>
        <x:v>0</x:v>
      </x:c>
      <x:c r="L26" s="480" t="str">
        <x:f>IF(H26="","",H26-K26)</x:f>
      </x:c>
      <x:c r="M26" s="548"/>
    </x:row>
    <x:row r="27" ht="22" customHeight="1">
      <x:c r="A27" s="479" t="n">
        <x:v>46420</x:v>
      </x:c>
      <x:c r="B27" s="479" t="n">
        <x:f>A27-7</x:f>
        <x:v>46413</x:v>
      </x:c>
      <x:c r="C27" s="479" t="n">
        <x:f>A27-1</x:f>
        <x:v>46419</x:v>
      </x:c>
      <x:c r="D27" s="547"/>
      <x:c r="E27" s="547"/>
      <x:c r="F27" s="547"/>
      <x:c r="G27" s="548"/>
      <x:c r="H27" s="547"/>
      <x:c r="I27" s="480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0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0" t="n">
        <x:f>I27+J27</x:f>
        <x:v>0</x:v>
      </x:c>
      <x:c r="L27" s="480" t="str">
        <x:f>IF(H27="","",H27-K27)</x:f>
      </x:c>
      <x:c r="M27" s="548"/>
    </x:row>
    <x:row r="28" ht="22" customHeight="1">
      <x:c r="A28" s="479" t="n">
        <x:v>46427</x:v>
      </x:c>
      <x:c r="B28" s="479" t="n">
        <x:f>A28-7</x:f>
        <x:v>46420</x:v>
      </x:c>
      <x:c r="C28" s="479" t="n">
        <x:f>A28-1</x:f>
        <x:v>46426</x:v>
      </x:c>
      <x:c r="D28" s="547"/>
      <x:c r="E28" s="547"/>
      <x:c r="F28" s="547"/>
      <x:c r="G28" s="548"/>
      <x:c r="H28" s="547"/>
      <x:c r="I28" s="480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0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0" t="n">
        <x:f>I28+J28</x:f>
        <x:v>0</x:v>
      </x:c>
      <x:c r="L28" s="480" t="str">
        <x:f>IF(H28="","",H28-K28)</x:f>
      </x:c>
      <x:c r="M28" s="548"/>
    </x:row>
    <x:row r="29" ht="22" customHeight="1">
      <x:c r="A29" s="479" t="n">
        <x:v>46434</x:v>
      </x:c>
      <x:c r="B29" s="479" t="n">
        <x:f>A29-7</x:f>
        <x:v>46427</x:v>
      </x:c>
      <x:c r="C29" s="479" t="n">
        <x:f>A29-1</x:f>
        <x:v>46433</x:v>
      </x:c>
      <x:c r="D29" s="547"/>
      <x:c r="E29" s="547"/>
      <x:c r="F29" s="547"/>
      <x:c r="G29" s="548"/>
      <x:c r="H29" s="547"/>
      <x:c r="I29" s="480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0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0" t="n">
        <x:f>I29+J29</x:f>
        <x:v>0</x:v>
      </x:c>
      <x:c r="L29" s="480" t="str">
        <x:f>IF(H29="","",H29-K29)</x:f>
      </x:c>
      <x:c r="M29" s="548"/>
    </x:row>
    <x:row r="30" ht="22" customHeight="1">
      <x:c r="A30" s="479" t="n">
        <x:v>46441</x:v>
      </x:c>
      <x:c r="B30" s="479" t="n">
        <x:f>A30-7</x:f>
        <x:v>46434</x:v>
      </x:c>
      <x:c r="C30" s="479" t="n">
        <x:f>A30-1</x:f>
        <x:v>46440</x:v>
      </x:c>
      <x:c r="D30" s="547"/>
      <x:c r="E30" s="547"/>
      <x:c r="F30" s="547"/>
      <x:c r="G30" s="548"/>
      <x:c r="H30" s="547"/>
      <x:c r="I30" s="480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0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0" t="n">
        <x:f>I30+J30</x:f>
        <x:v>0</x:v>
      </x:c>
      <x:c r="L30" s="480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8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8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8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8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8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8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8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8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8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8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8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8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8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8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8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8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8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8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8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8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8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8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8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8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8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8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8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8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8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8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8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8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8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8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8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8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8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8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8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8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8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8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8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8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8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8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8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8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8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8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8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8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8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8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8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8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8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8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8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8" t="n">
        <x:v>46273</x:v>
      </x:c>
      <x:c r="C64" s="548" t="str">
        <x:v>MCWHORTER SERVICE</x:v>
      </x:c>
      <x:c r="D64" s="547" t="n">
        <x:v>471.61</x:v>
      </x:c>
      <x:c r="E64" s="548" t="str">
        <x:v>Posted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Posted Sep. 15; emergency repair excluded from core scorecard</x:v>
      </x:c>
      <x:c r="K64" s="548" t="str">
        <x:v>Chase activity — Sep 15</x:v>
      </x:c>
      <x:c r="L64" s="548" t="str">
        <x:v>Posted activity</x:v>
      </x:c>
      <x:c r="M64" s="548" t="str">
        <x:v>Verified</x:v>
      </x:c>
    </x:row>
    <x:row r="65">
      <x:c r="A65" s="548" t="str">
        <x:v>Chase</x:v>
      </x:c>
      <x:c r="B65" s="478" t="n">
        <x:v>46273</x:v>
      </x:c>
      <x:c r="C65" s="548" t="str">
        <x:v>Starbucks</x:v>
      </x:c>
      <x:c r="D65" s="547" t="n">
        <x:v>12.45</x:v>
      </x:c>
      <x:c r="E65" s="548" t="str">
        <x:v>Posted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Posted in Sep. 15 Chase activity</x:v>
      </x:c>
      <x:c r="K65" s="548" t="str">
        <x:v>Chase activity — Sep 15</x:v>
      </x:c>
      <x:c r="L65" s="548" t="str">
        <x:v>Posted activity</x:v>
      </x:c>
      <x:c r="M65" s="548" t="str">
        <x:v>Verified</x:v>
      </x:c>
    </x:row>
    <x:row r="66">
      <x:c r="A66" s="548" t="str">
        <x:v>Chase</x:v>
      </x:c>
      <x:c r="B66" s="478" t="n">
        <x:v>46274</x:v>
      </x:c>
      <x:c r="C66" s="548" t="str">
        <x:v>Starbucks</x:v>
      </x:c>
      <x:c r="D66" s="547" t="n">
        <x:v>7.22</x:v>
      </x:c>
      <x:c r="E66" s="548" t="str">
        <x:v>Posted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Posted in Sep. 15 Chase activity</x:v>
      </x:c>
      <x:c r="K66" s="548" t="str">
        <x:v>Chase activity — Sep 15</x:v>
      </x:c>
      <x:c r="L66" s="548" t="str">
        <x:v>Posted activity</x:v>
      </x:c>
      <x:c r="M66" s="548" t="str">
        <x:v>Verified</x:v>
      </x:c>
    </x:row>
    <x:row r="67">
      <x:c r="A67" s="548" t="str">
        <x:v>Chase</x:v>
      </x:c>
      <x:c r="B67" s="478" t="n">
        <x:v>46274</x:v>
      </x:c>
      <x:c r="C67" s="548" t="str">
        <x:v>Starbucks</x:v>
      </x:c>
      <x:c r="D67" s="547" t="n">
        <x:v>6.55</x:v>
      </x:c>
      <x:c r="E67" s="548" t="str">
        <x:v>Posted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Posted in Sep. 15 Chase activity</x:v>
      </x:c>
      <x:c r="K67" s="548" t="str">
        <x:v>Chase activity — Sep 15</x:v>
      </x:c>
      <x:c r="L67" s="548" t="str">
        <x:v>Posted activity</x:v>
      </x:c>
      <x:c r="M67" s="548" t="str">
        <x:v>Verified</x:v>
      </x:c>
    </x:row>
    <x:row r="68">
      <x:c r="A68" s="548" t="str">
        <x:v>Chase</x:v>
      </x:c>
      <x:c r="B68" s="478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8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8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8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8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8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8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8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8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8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 t="str">
        <x:v>Citi</x:v>
      </x:c>
      <x:c r="B78" s="478" t="n">
        <x:v>46275</x:v>
      </x:c>
      <x:c r="C78" s="548" t="str">
        <x:v>EXXON CHECKOUT #70 ROCKPORT</x:v>
      </x:c>
      <x:c r="D78" s="547" t="n">
        <x:v>10.01</x:v>
      </x:c>
      <x:c r="E78" s="548" t="str">
        <x:v>Posted</x:v>
      </x:c>
      <x:c r="F78" s="548" t="str">
        <x:v>Fuel</x:v>
      </x:c>
      <x:c r="G78" s="548" t="str">
        <x:v>Include</x:v>
      </x:c>
      <x:c r="H78" s="574" t="n">
        <x:f>IF(B78="","",B78-WEEKDAY(B78-2,1)+1)</x:f>
        <x:v>46273</x:v>
      </x:c>
      <x:c r="I78" s="548" t="str">
        <x:v>citi-2026-09-10-exxon-1001</x:v>
      </x:c>
      <x:c r="J78" s="548" t="str">
        <x:v>Fuel purchase visible in Sep. 15 Citi activity</x:v>
      </x:c>
      <x:c r="K78" s="548" t="str">
        <x:v>Citi activity — Sep 15</x:v>
      </x:c>
      <x:c r="L78" s="548" t="str">
        <x:v>Posted activity</x:v>
      </x:c>
      <x:c r="M78" s="548" t="str">
        <x:v>Verified</x:v>
      </x:c>
    </x:row>
    <x:row r="79">
      <x:c r="A79" s="548" t="str">
        <x:v>Citi</x:v>
      </x:c>
      <x:c r="B79" s="478" t="n">
        <x:v>46275</x:v>
      </x:c>
      <x:c r="C79" s="548" t="str">
        <x:v>ONLINE PAYMENT, THANK YOU</x:v>
      </x:c>
      <x:c r="D79" s="547" t="n">
        <x:v>-132.09</x:v>
      </x:c>
      <x:c r="E79" s="548" t="str">
        <x:v>Posted</x:v>
      </x:c>
      <x:c r="F79" s="548" t="str">
        <x:v>Credit-card payment</x:v>
      </x:c>
      <x:c r="G79" s="548" t="str">
        <x:v>Exclude</x:v>
      </x:c>
      <x:c r="H79" s="574" t="n">
        <x:f>IF(B79="","",B79-WEEKDAY(B79-2,1)+1)</x:f>
        <x:v>46273</x:v>
      </x:c>
      <x:c r="I79" s="548" t="str">
        <x:v>citi-2026-09-10-payment-13209</x:v>
      </x:c>
      <x:c r="J79" s="548" t="str">
        <x:v>Card payment confirmed by Citi and Wells; excluded from spending</x:v>
      </x:c>
      <x:c r="K79" s="548" t="str">
        <x:v>Citi activity — Sep 15</x:v>
      </x:c>
      <x:c r="L79" s="548" t="str">
        <x:v>Posted activity</x:v>
      </x:c>
      <x:c r="M79" s="548" t="str">
        <x:v>Verified</x:v>
      </x:c>
    </x:row>
    <x:row r="80">
      <x:c r="A80" s="548" t="str">
        <x:v>Citi</x:v>
      </x:c>
      <x:c r="B80" s="478" t="n">
        <x:v>46276</x:v>
      </x:c>
      <x:c r="C80" s="548" t="str">
        <x:v>PCC 9394 INGLESIDE TX</x:v>
      </x:c>
      <x:c r="D80" s="547" t="n">
        <x:v>72.78</x:v>
      </x:c>
      <x:c r="E80" s="548" t="str">
        <x:v>Posted</x:v>
      </x:c>
      <x:c r="F80" s="548" t="str">
        <x:v>Fuel</x:v>
      </x:c>
      <x:c r="G80" s="548" t="str">
        <x:v>Include</x:v>
      </x:c>
      <x:c r="H80" s="574" t="n">
        <x:f>IF(B80="","",B80-WEEKDAY(B80-2,1)+1)</x:f>
        <x:v>46273</x:v>
      </x:c>
      <x:c r="I80" s="548" t="str">
        <x:v>citi-2026-09-11-pcc-7278</x:v>
      </x:c>
      <x:c r="J80" s="548" t="str">
        <x:v>Same merchant as the prior verified Citi fuel purchase</x:v>
      </x:c>
      <x:c r="K80" s="548" t="str">
        <x:v>Citi activity — Sep 15</x:v>
      </x:c>
      <x:c r="L80" s="548" t="str">
        <x:v>Posted activity</x:v>
      </x:c>
      <x:c r="M80" s="548" t="str">
        <x:v>Verified</x:v>
      </x:c>
    </x:row>
    <x:row r="81">
      <x:c r="A81" s="548" t="str">
        <x:v>Citi</x:v>
      </x:c>
      <x:c r="B81" s="478" t="n">
        <x:v>46277</x:v>
      </x:c>
      <x:c r="C81" s="548" t="str">
        <x:v>WM SUPERCENTER #440 ROCKPORT</x:v>
      </x:c>
      <x:c r="D81" s="547" t="n">
        <x:v>23.47</x:v>
      </x:c>
      <x:c r="E81" s="548" t="str">
        <x:v>Posted</x:v>
      </x:c>
      <x:c r="F81" s="548" t="str">
        <x:v>Car supplies</x:v>
      </x:c>
      <x:c r="G81" s="548" t="str">
        <x:v>Include</x:v>
      </x:c>
      <x:c r="H81" s="574" t="n">
        <x:f>IF(B81="","",B81-WEEKDAY(B81-2,1)+1)</x:f>
        <x:v>46273</x:v>
      </x:c>
      <x:c r="I81" s="548" t="str">
        <x:v>citi-2026-09-12-walmart-2347</x:v>
      </x:c>
      <x:c r="J81" s="548" t="str">
        <x:v>User classified as car supplies</x:v>
      </x:c>
      <x:c r="K81" s="548" t="str">
        <x:v>Citi activity — Sep 15</x:v>
      </x:c>
      <x:c r="L81" s="548" t="str">
        <x:v>Posted activity</x:v>
      </x:c>
      <x:c r="M81" s="548" t="str">
        <x:v>Verified</x:v>
      </x:c>
    </x:row>
    <x:row r="82">
      <x:c r="A82" s="548" t="str">
        <x:v>Citi</x:v>
      </x:c>
      <x:c r="B82" s="478" t="n">
        <x:v>46279</x:v>
      </x:c>
      <x:c r="C82" s="548" t="str">
        <x:v>SE40845 INGLESIDE USA</x:v>
      </x:c>
      <x:c r="D82" s="547" t="n">
        <x:v>63.79</x:v>
      </x:c>
      <x:c r="E82" s="548" t="str">
        <x:v>Pending</x:v>
      </x:c>
      <x:c r="F82" s="548" t="str">
        <x:v>Fuel</x:v>
      </x:c>
      <x:c r="G82" s="548" t="str">
        <x:v>Include</x:v>
      </x:c>
      <x:c r="H82" s="574" t="n">
        <x:f>IF(B82="","",B82-WEEKDAY(B82-2,1)+1)</x:f>
        <x:v>46273</x:v>
      </x:c>
      <x:c r="I82" s="548" t="str">
        <x:v>citi-2026-09-14-se40845-6379</x:v>
      </x:c>
      <x:c r="J82" s="548" t="str">
        <x:v>User classified as fuel</x:v>
      </x:c>
      <x:c r="K82" s="548" t="str">
        <x:v>Citi activity — Sep 15</x:v>
      </x:c>
      <x:c r="L82" s="548" t="str">
        <x:v>Pending list</x:v>
      </x:c>
      <x:c r="M82" s="548" t="str">
        <x:v>Verified</x:v>
      </x:c>
    </x:row>
    <x:row r="83">
      <x:c r="A83" s="548" t="str">
        <x:v>Chase</x:v>
      </x:c>
      <x:c r="B83" s="478" t="n">
        <x:v>46275</x:v>
      </x:c>
      <x:c r="C83" s="548" t="str">
        <x:v>365 MARKET N 888 432-3299</x:v>
      </x:c>
      <x:c r="D83" s="547" t="n">
        <x:v>2.82</x:v>
      </x:c>
      <x:c r="E83" s="548" t="str">
        <x:v>Posted</x:v>
      </x:c>
      <x:c r="F83" s="548" t="str">
        <x:v>Work snacks</x:v>
      </x:c>
      <x:c r="G83" s="548" t="str">
        <x:v>Include</x:v>
      </x:c>
      <x:c r="H83" s="574" t="n">
        <x:f>IF(B83="","",B83-WEEKDAY(B83-2,1)+1)</x:f>
        <x:v>46273</x:v>
      </x:c>
      <x:c r="I83" s="548" t="str">
        <x:v>chase-2026-09-10-365-282</x:v>
      </x:c>
      <x:c r="J83" s="548" t="str">
        <x:v>Posted in Sep. 15 Chase activity</x:v>
      </x:c>
      <x:c r="K83" s="548" t="str">
        <x:v>Chase activity — Sep 15</x:v>
      </x:c>
      <x:c r="L83" s="548" t="str">
        <x:v>Posted activity</x:v>
      </x:c>
      <x:c r="M83" s="548" t="str">
        <x:v>Verified</x:v>
      </x:c>
    </x:row>
    <x:row r="84">
      <x:c r="A84" s="548" t="str">
        <x:v>Chase</x:v>
      </x:c>
      <x:c r="B84" s="478" t="n">
        <x:v>46275</x:v>
      </x:c>
      <x:c r="C84" s="548" t="str">
        <x:v>PAYMENT THANK YOU</x:v>
      </x:c>
      <x:c r="D84" s="547" t="n">
        <x:v>-266.96</x:v>
      </x:c>
      <x:c r="E84" s="548" t="str">
        <x:v>Posted</x:v>
      </x:c>
      <x:c r="F84" s="548" t="str">
        <x:v>Credit-card payment</x:v>
      </x:c>
      <x:c r="G84" s="548" t="str">
        <x:v>Exclude</x:v>
      </x:c>
      <x:c r="H84" s="574" t="n">
        <x:f>IF(B84="","",B84-WEEKDAY(B84-2,1)+1)</x:f>
        <x:v>46273</x:v>
      </x:c>
      <x:c r="I84" s="548" t="str">
        <x:v>chase-2026-09-10-payment-26696</x:v>
      </x:c>
      <x:c r="J84" s="548" t="str">
        <x:v>Payment also confirmed by Wells; excluded from spending</x:v>
      </x:c>
      <x:c r="K84" s="548" t="str">
        <x:v>Chase activity — Sep 15</x:v>
      </x:c>
      <x:c r="L84" s="548" t="str">
        <x:v>Posted activity</x:v>
      </x:c>
      <x:c r="M84" s="548" t="str">
        <x:v>Verified</x:v>
      </x:c>
    </x:row>
    <x:row r="85">
      <x:c r="A85" s="548" t="str">
        <x:v>Chase</x:v>
      </x:c>
      <x:c r="B85" s="478" t="n">
        <x:v>46275</x:v>
      </x:c>
      <x:c r="C85" s="548" t="str">
        <x:v>INVINCIBLE APPCHARGE</x:v>
      </x:c>
      <x:c r="D85" s="547" t="n">
        <x:v>27.53</x:v>
      </x:c>
      <x:c r="E85" s="548" t="str">
        <x:v>Posted</x:v>
      </x:c>
      <x:c r="F85" s="548" t="str">
        <x:v>Invincibles + other Apple</x:v>
      </x:c>
      <x:c r="G85" s="548" t="str">
        <x:v>Include</x:v>
      </x:c>
      <x:c r="H85" s="574" t="n">
        <x:f>IF(B85="","",B85-WEEKDAY(B85-2,1)+1)</x:f>
        <x:v>46273</x:v>
      </x:c>
      <x:c r="I85" s="548" t="str">
        <x:v>chase-2026-09-10-invincible-2753</x:v>
      </x:c>
      <x:c r="J85" s="548" t="str">
        <x:v>Posted in Sep. 15 Chase activity</x:v>
      </x:c>
      <x:c r="K85" s="548" t="str">
        <x:v>Chase activity — Sep 15</x:v>
      </x:c>
      <x:c r="L85" s="548" t="str">
        <x:v>Posted activity</x:v>
      </x:c>
      <x:c r="M85" s="548" t="str">
        <x:v>Verified</x:v>
      </x:c>
    </x:row>
    <x:row r="86">
      <x:c r="A86" s="548" t="str">
        <x:v>Chase</x:v>
      </x:c>
      <x:c r="B86" s="478" t="n">
        <x:v>46275</x:v>
      </x:c>
      <x:c r="C86" s="548" t="str">
        <x:v>APPLE DIGITAL SERVICES</x:v>
      </x:c>
      <x:c r="D86" s="547" t="n">
        <x:v>16.21</x:v>
      </x:c>
      <x:c r="E86" s="548" t="str">
        <x:v>Posted</x:v>
      </x:c>
      <x:c r="F86" s="548" t="str">
        <x:v>Invincibles + other Apple</x:v>
      </x:c>
      <x:c r="G86" s="548" t="str">
        <x:v>Include</x:v>
      </x:c>
      <x:c r="H86" s="574" t="n">
        <x:f>IF(B86="","",B86-WEEKDAY(B86-2,1)+1)</x:f>
        <x:v>46273</x:v>
      </x:c>
      <x:c r="I86" s="548" t="str">
        <x:v>chase-2026-09-10-apple-1621</x:v>
      </x:c>
      <x:c r="J86" s="548" t="str">
        <x:v>Posted in Sep. 15 Chase activity</x:v>
      </x:c>
      <x:c r="K86" s="548" t="str">
        <x:v>Chase activity — Sep 15</x:v>
      </x:c>
      <x:c r="L86" s="548" t="str">
        <x:v>Posted activity</x:v>
      </x:c>
      <x:c r="M86" s="548" t="str">
        <x:v>Verified</x:v>
      </x:c>
    </x:row>
    <x:row r="87">
      <x:c r="A87" s="548" t="str">
        <x:v>Chase</x:v>
      </x:c>
      <x:c r="B87" s="478" t="n">
        <x:v>46275</x:v>
      </x:c>
      <x:c r="C87" s="548" t="str">
        <x:v>INVINCIBLE APPCHARGE</x:v>
      </x:c>
      <x:c r="D87" s="547" t="n">
        <x:v>13.76</x:v>
      </x:c>
      <x:c r="E87" s="548" t="str">
        <x:v>Posted</x:v>
      </x:c>
      <x:c r="F87" s="548" t="str">
        <x:v>Invincibles + other Apple</x:v>
      </x:c>
      <x:c r="G87" s="548" t="str">
        <x:v>Include</x:v>
      </x:c>
      <x:c r="H87" s="574" t="n">
        <x:f>IF(B87="","",B87-WEEKDAY(B87-2,1)+1)</x:f>
        <x:v>46273</x:v>
      </x:c>
      <x:c r="I87" s="548" t="str">
        <x:v>chase-2026-09-10-invincible-1376</x:v>
      </x:c>
      <x:c r="J87" s="548" t="str">
        <x:v>Posted in Sep. 15 Chase activity</x:v>
      </x:c>
      <x:c r="K87" s="548" t="str">
        <x:v>Chase activity — Sep 15</x:v>
      </x:c>
      <x:c r="L87" s="548" t="str">
        <x:v>Posted activity</x:v>
      </x:c>
      <x:c r="M87" s="548" t="str">
        <x:v>Verified</x:v>
      </x:c>
    </x:row>
    <x:row r="88">
      <x:c r="A88" s="548" t="str">
        <x:v>Chase</x:v>
      </x:c>
      <x:c r="B88" s="478" t="n">
        <x:v>46275</x:v>
      </x:c>
      <x:c r="C88" s="548" t="str">
        <x:v>INVINCIBLE APPCHARGE</x:v>
      </x:c>
      <x:c r="D88" s="547" t="n">
        <x:v>4.58</x:v>
      </x:c>
      <x:c r="E88" s="548" t="str">
        <x:v>Posted</x:v>
      </x:c>
      <x:c r="F88" s="548" t="str">
        <x:v>Invincibles + other Apple</x:v>
      </x:c>
      <x:c r="G88" s="548" t="str">
        <x:v>Include</x:v>
      </x:c>
      <x:c r="H88" s="574" t="n">
        <x:f>IF(B88="","",B88-WEEKDAY(B88-2,1)+1)</x:f>
        <x:v>46273</x:v>
      </x:c>
      <x:c r="I88" s="548" t="str">
        <x:v>chase-2026-09-10-invincible-458</x:v>
      </x:c>
      <x:c r="J88" s="548" t="str">
        <x:v>Posted in Sep. 15 Chase activity</x:v>
      </x:c>
      <x:c r="K88" s="548" t="str">
        <x:v>Chase activity — Sep 15</x:v>
      </x:c>
      <x:c r="L88" s="548" t="str">
        <x:v>Posted activity</x:v>
      </x:c>
      <x:c r="M88" s="548" t="str">
        <x:v>Verified</x:v>
      </x:c>
    </x:row>
    <x:row r="89">
      <x:c r="A89" s="548" t="str">
        <x:v>Chase</x:v>
      </x:c>
      <x:c r="B89" s="478" t="n">
        <x:v>46276</x:v>
      </x:c>
      <x:c r="C89" s="548" t="str">
        <x:v>EXXON</x:v>
      </x:c>
      <x:c r="D89" s="547" t="n">
        <x:v>27.05</x:v>
      </x:c>
      <x:c r="E89" s="548" t="str">
        <x:v>Posted</x:v>
      </x:c>
      <x:c r="F89" s="548" t="str">
        <x:v>Fuel</x:v>
      </x:c>
      <x:c r="G89" s="548" t="str">
        <x:v>Include</x:v>
      </x:c>
      <x:c r="H89" s="574" t="n">
        <x:f>IF(B89="","",B89-WEEKDAY(B89-2,1)+1)</x:f>
        <x:v>46273</x:v>
      </x:c>
      <x:c r="I89" s="548" t="str">
        <x:v>chase-2026-09-11-exxon-2705</x:v>
      </x:c>
      <x:c r="J89" s="548" t="str">
        <x:v>Posted in Sep. 15 Chase activity</x:v>
      </x:c>
      <x:c r="K89" s="548" t="str">
        <x:v>Chase activity — Sep 15</x:v>
      </x:c>
      <x:c r="L89" s="548" t="str">
        <x:v>Posted activity</x:v>
      </x:c>
      <x:c r="M89" s="548" t="str">
        <x:v>Verified</x:v>
      </x:c>
    </x:row>
    <x:row r="90">
      <x:c r="A90" s="548" t="str">
        <x:v>Chase</x:v>
      </x:c>
      <x:c r="B90" s="478" t="n">
        <x:v>46276</x:v>
      </x:c>
      <x:c r="C90" s="548" t="str">
        <x:v>INVINCIBLE APPCHARGE</x:v>
      </x:c>
      <x:c r="D90" s="547" t="n">
        <x:v>18.35</x:v>
      </x:c>
      <x:c r="E90" s="548" t="str">
        <x:v>Posted</x:v>
      </x:c>
      <x:c r="F90" s="548" t="str">
        <x:v>Invincibles + other Apple</x:v>
      </x:c>
      <x:c r="G90" s="548" t="str">
        <x:v>Include</x:v>
      </x:c>
      <x:c r="H90" s="574" t="n">
        <x:f>IF(B90="","",B90-WEEKDAY(B90-2,1)+1)</x:f>
        <x:v>46273</x:v>
      </x:c>
      <x:c r="I90" s="548" t="str">
        <x:v>chase-2026-09-11-invincible-1835</x:v>
      </x:c>
      <x:c r="J90" s="548" t="str">
        <x:v>Posted in Sep. 15 Chase activity</x:v>
      </x:c>
      <x:c r="K90" s="548" t="str">
        <x:v>Chase activity — Sep 15</x:v>
      </x:c>
      <x:c r="L90" s="548" t="str">
        <x:v>Posted activity</x:v>
      </x:c>
      <x:c r="M90" s="548" t="str">
        <x:v>Verified</x:v>
      </x:c>
    </x:row>
    <x:row r="91">
      <x:c r="A91" s="548" t="str">
        <x:v>Chase</x:v>
      </x:c>
      <x:c r="B91" s="478" t="n">
        <x:v>46276</x:v>
      </x:c>
      <x:c r="C91" s="548" t="str">
        <x:v>Starbucks</x:v>
      </x:c>
      <x:c r="D91" s="547" t="n">
        <x:v>6.22</x:v>
      </x:c>
      <x:c r="E91" s="548" t="str">
        <x:v>Posted</x:v>
      </x:c>
      <x:c r="F91" s="548" t="str">
        <x:v>Starbucks</x:v>
      </x:c>
      <x:c r="G91" s="548" t="str">
        <x:v>Include</x:v>
      </x:c>
      <x:c r="H91" s="574" t="n">
        <x:f>IF(B91="","",B91-WEEKDAY(B91-2,1)+1)</x:f>
        <x:v>46273</x:v>
      </x:c>
      <x:c r="I91" s="548" t="str">
        <x:v>chase-2026-09-11-starbucks-622</x:v>
      </x:c>
      <x:c r="J91" s="548" t="str">
        <x:v>Posted in Sep. 15 Chase activity</x:v>
      </x:c>
      <x:c r="K91" s="548" t="str">
        <x:v>Chase activity — Sep 15</x:v>
      </x:c>
      <x:c r="L91" s="548" t="str">
        <x:v>Posted activity</x:v>
      </x:c>
      <x:c r="M91" s="548" t="str">
        <x:v>Verified</x:v>
      </x:c>
    </x:row>
    <x:row r="92">
      <x:c r="A92" s="548" t="str">
        <x:v>Chase</x:v>
      </x:c>
      <x:c r="B92" s="478" t="n">
        <x:v>46277</x:v>
      </x:c>
      <x:c r="C92" s="548" t="str">
        <x:v>Starbucks</x:v>
      </x:c>
      <x:c r="D92" s="547" t="n">
        <x:v>6.98</x:v>
      </x:c>
      <x:c r="E92" s="548" t="str">
        <x:v>Posted</x:v>
      </x:c>
      <x:c r="F92" s="548" t="str">
        <x:v>Starbucks</x:v>
      </x:c>
      <x:c r="G92" s="548" t="str">
        <x:v>Include</x:v>
      </x:c>
      <x:c r="H92" s="574" t="n">
        <x:f>IF(B92="","",B92-WEEKDAY(B92-2,1)+1)</x:f>
        <x:v>46273</x:v>
      </x:c>
      <x:c r="I92" s="548" t="str">
        <x:v>chase-2026-09-12-starbucks-698</x:v>
      </x:c>
      <x:c r="J92" s="548" t="str">
        <x:v>Posted in Sep. 15 Chase activity</x:v>
      </x:c>
      <x:c r="K92" s="548" t="str">
        <x:v>Chase activity — Sep 15</x:v>
      </x:c>
      <x:c r="L92" s="548" t="str">
        <x:v>Posted activity</x:v>
      </x:c>
      <x:c r="M92" s="548" t="str">
        <x:v>Verified</x:v>
      </x:c>
    </x:row>
    <x:row r="93">
      <x:c r="A93" s="548" t="str">
        <x:v>Chase</x:v>
      </x:c>
      <x:c r="B93" s="478" t="n">
        <x:v>46277</x:v>
      </x:c>
      <x:c r="C93" s="548" t="str">
        <x:v>INVINCIBLE APPCHARGE</x:v>
      </x:c>
      <x:c r="D93" s="547" t="n">
        <x:v>13.76</x:v>
      </x:c>
      <x:c r="E93" s="548" t="str">
        <x:v>Posted</x:v>
      </x:c>
      <x:c r="F93" s="548" t="str">
        <x:v>Invincibles + other Apple</x:v>
      </x:c>
      <x:c r="G93" s="548" t="str">
        <x:v>Include</x:v>
      </x:c>
      <x:c r="H93" s="574" t="n">
        <x:f>IF(B93="","",B93-WEEKDAY(B93-2,1)+1)</x:f>
        <x:v>46273</x:v>
      </x:c>
      <x:c r="I93" s="548" t="str">
        <x:v>chase-2026-09-12-invincible-1376</x:v>
      </x:c>
      <x:c r="J93" s="548" t="str">
        <x:v>Posted in Sep. 15 Chase activity</x:v>
      </x:c>
      <x:c r="K93" s="548" t="str">
        <x:v>Chase activity — Sep 15</x:v>
      </x:c>
      <x:c r="L93" s="548" t="str">
        <x:v>Posted activity</x:v>
      </x:c>
      <x:c r="M93" s="548" t="str">
        <x:v>Verified</x:v>
      </x:c>
    </x:row>
    <x:row r="94">
      <x:c r="A94" s="548" t="str">
        <x:v>Chase</x:v>
      </x:c>
      <x:c r="B94" s="478" t="n">
        <x:v>46278</x:v>
      </x:c>
      <x:c r="C94" s="548" t="str">
        <x:v>INVINCIBLE APPCHARGE</x:v>
      </x:c>
      <x:c r="D94" s="547" t="n">
        <x:v>13.76</x:v>
      </x:c>
      <x:c r="E94" s="548" t="str">
        <x:v>Posted</x:v>
      </x:c>
      <x:c r="F94" s="548" t="str">
        <x:v>Invincibles + other Apple</x:v>
      </x:c>
      <x:c r="G94" s="548" t="str">
        <x:v>Include</x:v>
      </x:c>
      <x:c r="H94" s="574" t="n">
        <x:f>IF(B94="","",B94-WEEKDAY(B94-2,1)+1)</x:f>
        <x:v>46273</x:v>
      </x:c>
      <x:c r="I94" s="548" t="str">
        <x:v>chase-2026-09-13-invincible-1376</x:v>
      </x:c>
      <x:c r="J94" s="548" t="str">
        <x:v>Posted in Sep. 15 Chase activity</x:v>
      </x:c>
      <x:c r="K94" s="548" t="str">
        <x:v>Chase activity — Sep 15</x:v>
      </x:c>
      <x:c r="L94" s="548" t="str">
        <x:v>Posted activity</x:v>
      </x:c>
      <x:c r="M94" s="548" t="str">
        <x:v>Verified</x:v>
      </x:c>
    </x:row>
    <x:row r="95">
      <x:c r="A95" s="548" t="str">
        <x:v>Chase</x:v>
      </x:c>
      <x:c r="B95" s="478" t="n">
        <x:v>46278</x:v>
      </x:c>
      <x:c r="C95" s="548" t="str">
        <x:v>INVINCIBLE APPCHARGE</x:v>
      </x:c>
      <x:c r="D95" s="547" t="n">
        <x:v>27.53</x:v>
      </x:c>
      <x:c r="E95" s="548" t="str">
        <x:v>Posted</x:v>
      </x:c>
      <x:c r="F95" s="548" t="str">
        <x:v>Invincibles + other Apple</x:v>
      </x:c>
      <x:c r="G95" s="548" t="str">
        <x:v>Include</x:v>
      </x:c>
      <x:c r="H95" s="574" t="n">
        <x:f>IF(B95="","",B95-WEEKDAY(B95-2,1)+1)</x:f>
        <x:v>46273</x:v>
      </x:c>
      <x:c r="I95" s="548" t="str">
        <x:v>chase-2026-09-13-invincible-2753</x:v>
      </x:c>
      <x:c r="J95" s="548" t="str">
        <x:v>Posted in Sep. 15 Chase activity</x:v>
      </x:c>
      <x:c r="K95" s="548" t="str">
        <x:v>Chase activity — Sep 15</x:v>
      </x:c>
      <x:c r="L95" s="548" t="str">
        <x:v>Posted activity</x:v>
      </x:c>
      <x:c r="M95" s="548" t="str">
        <x:v>Verified</x:v>
      </x:c>
    </x:row>
    <x:row r="96">
      <x:c r="A96" s="548" t="str">
        <x:v>Chase</x:v>
      </x:c>
      <x:c r="B96" s="478" t="n">
        <x:v>46278</x:v>
      </x:c>
      <x:c r="C96" s="548" t="str">
        <x:v>ARKPERFORMA</x:v>
      </x:c>
      <x:c r="D96" s="547" t="n">
        <x:v>11.99</x:v>
      </x:c>
      <x:c r="E96" s="548" t="str">
        <x:v>Posted</x:v>
      </x:c>
      <x:c r="F96" s="548" t="str">
        <x:v>Automotive</x:v>
      </x:c>
      <x:c r="G96" s="548" t="str">
        <x:v>Include</x:v>
      </x:c>
      <x:c r="H96" s="574" t="n">
        <x:f>IF(B96="","",B96-WEEKDAY(B96-2,1)+1)</x:f>
        <x:v>46273</x:v>
      </x:c>
      <x:c r="I96" s="548" t="str">
        <x:v>chase-2026-09-13-arkperforma-1199</x:v>
      </x:c>
      <x:c r="J96" s="548" t="str">
        <x:v>Same merchant previously classified as automotive</x:v>
      </x:c>
      <x:c r="K96" s="548" t="str">
        <x:v>Chase activity — Sep 15</x:v>
      </x:c>
      <x:c r="L96" s="548" t="str">
        <x:v>Posted activity</x:v>
      </x:c>
      <x:c r="M96" s="548" t="str">
        <x:v>Verified</x:v>
      </x:c>
    </x:row>
    <x:row r="97">
      <x:c r="A97" s="548" t="str">
        <x:v>Chase</x:v>
      </x:c>
      <x:c r="B97" s="478" t="n">
        <x:v>46278</x:v>
      </x:c>
      <x:c r="C97" s="548" t="str">
        <x:v>INVINCIBLE APPCHARGE</x:v>
      </x:c>
      <x:c r="D97" s="547" t="n">
        <x:v>91.79</x:v>
      </x:c>
      <x:c r="E97" s="548" t="str">
        <x:v>Posted</x:v>
      </x:c>
      <x:c r="F97" s="548" t="str">
        <x:v>Invincibles + other Apple</x:v>
      </x:c>
      <x:c r="G97" s="548" t="str">
        <x:v>Include</x:v>
      </x:c>
      <x:c r="H97" s="574" t="n">
        <x:f>IF(B97="","",B97-WEEKDAY(B97-2,1)+1)</x:f>
        <x:v>46273</x:v>
      </x:c>
      <x:c r="I97" s="548" t="str">
        <x:v>chase-2026-09-13-invincible-9179</x:v>
      </x:c>
      <x:c r="J97" s="548" t="str">
        <x:v>Posted in Sep. 15 Chase activity</x:v>
      </x:c>
      <x:c r="K97" s="548" t="str">
        <x:v>Chase activity — Sep 15</x:v>
      </x:c>
      <x:c r="L97" s="548" t="str">
        <x:v>Posted activity</x:v>
      </x:c>
      <x:c r="M97" s="548" t="str">
        <x:v>Verified</x:v>
      </x:c>
    </x:row>
    <x:row r="98">
      <x:c r="A98" s="548" t="str">
        <x:v>Chase</x:v>
      </x:c>
      <x:c r="B98" s="478" t="n">
        <x:v>46278</x:v>
      </x:c>
      <x:c r="C98" s="548" t="str">
        <x:v>DOORDASH MCCONALD'S</x:v>
      </x:c>
      <x:c r="D98" s="547" t="n">
        <x:v>20.91</x:v>
      </x:c>
      <x:c r="E98" s="548" t="str">
        <x:v>Pending</x:v>
      </x:c>
      <x:c r="F98" s="548" t="str">
        <x:v>DoorDash</x:v>
      </x:c>
      <x:c r="G98" s="548" t="str">
        <x:v>Include</x:v>
      </x:c>
      <x:c r="H98" s="574" t="n">
        <x:f>IF(B98="","",B98-WEEKDAY(B98-2,1)+1)</x:f>
        <x:v>46273</x:v>
      </x:c>
      <x:c r="I98" s="548" t="str">
        <x:v>chase-2026-09-13-doordash-2091</x:v>
      </x:c>
      <x:c r="J98" s="548" t="str">
        <x:v>Pending in Sep. 15 Chase activity</x:v>
      </x:c>
      <x:c r="K98" s="548" t="str">
        <x:v>Chase pending — Sep 15</x:v>
      </x:c>
      <x:c r="L98" s="548" t="str">
        <x:v>Pending list</x:v>
      </x:c>
      <x:c r="M98" s="548" t="str">
        <x:v>Verified</x:v>
      </x:c>
    </x:row>
    <x:row r="99">
      <x:c r="A99" s="548" t="str">
        <x:v>Chase</x:v>
      </x:c>
      <x:c r="B99" s="478" t="n">
        <x:v>46278</x:v>
      </x:c>
      <x:c r="C99" s="548" t="str">
        <x:v>Starbucks</x:v>
      </x:c>
      <x:c r="D99" s="547" t="n">
        <x:v>6.55</x:v>
      </x:c>
      <x:c r="E99" s="548" t="str">
        <x:v>Pending</x:v>
      </x:c>
      <x:c r="F99" s="548" t="str">
        <x:v>Starbucks</x:v>
      </x:c>
      <x:c r="G99" s="548" t="str">
        <x:v>Include</x:v>
      </x:c>
      <x:c r="H99" s="574" t="n">
        <x:f>IF(B99="","",B99-WEEKDAY(B99-2,1)+1)</x:f>
        <x:v>46273</x:v>
      </x:c>
      <x:c r="I99" s="548" t="str">
        <x:v>chase-2026-09-13-starbucks-655</x:v>
      </x:c>
      <x:c r="J99" s="548" t="str">
        <x:v>Pending in Sep. 15 Chase activity</x:v>
      </x:c>
      <x:c r="K99" s="548" t="str">
        <x:v>Chase pending — Sep 15</x:v>
      </x:c>
      <x:c r="L99" s="548" t="str">
        <x:v>Pending list</x:v>
      </x:c>
      <x:c r="M99" s="548" t="str">
        <x:v>Verified</x:v>
      </x:c>
    </x:row>
    <x:row r="100">
      <x:c r="A100" s="548" t="str">
        <x:v>Chase</x:v>
      </x:c>
      <x:c r="B100" s="478" t="n">
        <x:v>46279</x:v>
      </x:c>
      <x:c r="C100" s="548" t="str">
        <x:v>365 MARKET N 888 432-3299</x:v>
      </x:c>
      <x:c r="D100" s="547" t="n">
        <x:v>2.82</x:v>
      </x:c>
      <x:c r="E100" s="548" t="str">
        <x:v>Pending</x:v>
      </x:c>
      <x:c r="F100" s="548" t="str">
        <x:v>Work snacks</x:v>
      </x:c>
      <x:c r="G100" s="548" t="str">
        <x:v>Include</x:v>
      </x:c>
      <x:c r="H100" s="574" t="n">
        <x:f>IF(B100="","",B100-WEEKDAY(B100-2,1)+1)</x:f>
        <x:v>46273</x:v>
      </x:c>
      <x:c r="I100" s="548" t="str">
        <x:v>chase-2026-09-14-365-282</x:v>
      </x:c>
      <x:c r="J100" s="548" t="str">
        <x:v>Pending in Sep. 15 Chase activity</x:v>
      </x:c>
      <x:c r="K100" s="548" t="str">
        <x:v>Chase pending — Sep 15</x:v>
      </x:c>
      <x:c r="L100" s="548" t="str">
        <x:v>Pending list</x:v>
      </x:c>
      <x:c r="M100" s="548" t="str">
        <x:v>Verified</x:v>
      </x:c>
    </x:row>
    <x:row r="101">
      <x:c r="A101" s="548" t="str">
        <x:v>Chase</x:v>
      </x:c>
      <x:c r="B101" s="478" t="n">
        <x:v>46279</x:v>
      </x:c>
      <x:c r="C101" s="548" t="str">
        <x:v>Starbucks</x:v>
      </x:c>
      <x:c r="D101" s="547" t="n">
        <x:v>12.45</x:v>
      </x:c>
      <x:c r="E101" s="548" t="str">
        <x:v>Pending</x:v>
      </x:c>
      <x:c r="F101" s="548" t="str">
        <x:v>Starbucks</x:v>
      </x:c>
      <x:c r="G101" s="548" t="str">
        <x:v>Include</x:v>
      </x:c>
      <x:c r="H101" s="574" t="n">
        <x:f>IF(B101="","",B101-WEEKDAY(B101-2,1)+1)</x:f>
        <x:v>46273</x:v>
      </x:c>
      <x:c r="I101" s="548" t="str">
        <x:v>chase-2026-09-14-starbucks-1245</x:v>
      </x:c>
      <x:c r="J101" s="548" t="str">
        <x:v>Pending in Sep. 15 Chase activity</x:v>
      </x:c>
      <x:c r="K101" s="548" t="str">
        <x:v>Chase pending — Sep 15</x:v>
      </x:c>
      <x:c r="L101" s="548" t="str">
        <x:v>Pending list</x:v>
      </x:c>
      <x:c r="M101" s="548" t="str">
        <x:v>Verified</x:v>
      </x:c>
    </x:row>
    <x:row r="102">
      <x:c r="A102" s="548" t="str">
        <x:v>Chase</x:v>
      </x:c>
      <x:c r="B102" s="478" t="n">
        <x:v>46280</x:v>
      </x:c>
      <x:c r="C102" s="548" t="str">
        <x:v>EXXON</x:v>
      </x:c>
      <x:c r="D102" s="547" t="n">
        <x:v>39.41</x:v>
      </x:c>
      <x:c r="E102" s="548" t="str">
        <x:v>Pending</x:v>
      </x:c>
      <x:c r="F102" s="548" t="str">
        <x:v>Fuel</x:v>
      </x:c>
      <x:c r="G102" s="548" t="str">
        <x:v>Include</x:v>
      </x:c>
      <x:c r="H102" s="574" t="n">
        <x:f>IF(B102="","",B102-WEEKDAY(B102-2,1)+1)</x:f>
        <x:v>46280</x:v>
      </x:c>
      <x:c r="I102" s="548" t="str">
        <x:v>chase-2026-09-15-exxon-3941</x:v>
      </x:c>
      <x:c r="J102" s="548" t="str">
        <x:v>Pending in Sep. 15 Chase activity</x:v>
      </x:c>
      <x:c r="K102" s="548" t="str">
        <x:v>Chase pending — Sep 15</x:v>
      </x:c>
      <x:c r="L102" s="548" t="str">
        <x:v>Pending list</x:v>
      </x:c>
      <x:c r="M102" s="548" t="str">
        <x:v>Verified</x:v>
      </x:c>
    </x:row>
    <x:row r="103">
      <x:c r="A103" s="548" t="str">
        <x:v>Chase</x:v>
      </x:c>
      <x:c r="B103" s="478" t="n">
        <x:v>46280</x:v>
      </x:c>
      <x:c r="C103" s="548" t="str">
        <x:v>Target</x:v>
      </x:c>
      <x:c r="D103" s="547" t="n">
        <x:v>25.29</x:v>
      </x:c>
      <x:c r="E103" s="548" t="str">
        <x:v>Pending</x:v>
      </x:c>
      <x:c r="F103" s="548" t="str">
        <x:v>Shopping / personal care</x:v>
      </x:c>
      <x:c r="G103" s="548" t="str">
        <x:v>Include</x:v>
      </x:c>
      <x:c r="H103" s="574" t="n">
        <x:f>IF(B103="","",B103-WEEKDAY(B103-2,1)+1)</x:f>
        <x:v>46280</x:v>
      </x:c>
      <x:c r="I103" s="548" t="str">
        <x:v>chase-2026-09-15-target-2529</x:v>
      </x:c>
      <x:c r="J103" s="548" t="str">
        <x:v>Pending in Sep. 15 Chase activity</x:v>
      </x:c>
      <x:c r="K103" s="548" t="str">
        <x:v>Chase pending — Sep 15</x:v>
      </x:c>
      <x:c r="L103" s="548" t="str">
        <x:v>Pending list</x:v>
      </x:c>
      <x:c r="M103" s="548" t="str">
        <x:v>Verified</x:v>
      </x:c>
    </x:row>
    <x:row r="104">
      <x:c r="A104" s="548" t="str">
        <x:v>Chase</x:v>
      </x:c>
      <x:c r="B104" s="478" t="n">
        <x:v>46280</x:v>
      </x:c>
      <x:c r="C104" s="548" t="str">
        <x:v>INVINCIBLE APPCHARGE</x:v>
      </x:c>
      <x:c r="D104" s="547" t="n">
        <x:v>45.89</x:v>
      </x:c>
      <x:c r="E104" s="548" t="str">
        <x:v>Pending</x:v>
      </x:c>
      <x:c r="F104" s="548" t="str">
        <x:v>Invincibles + other Apple</x:v>
      </x:c>
      <x:c r="G104" s="548" t="str">
        <x:v>Include</x:v>
      </x:c>
      <x:c r="H104" s="574" t="n">
        <x:f>IF(B104="","",B104-WEEKDAY(B104-2,1)+1)</x:f>
        <x:v>46280</x:v>
      </x:c>
      <x:c r="I104" s="548" t="str">
        <x:v>chase-2026-09-15-invincible-4589</x:v>
      </x:c>
      <x:c r="J104" s="548" t="str">
        <x:v>Pending in Sep. 15 Chase activity</x:v>
      </x:c>
      <x:c r="K104" s="548" t="str">
        <x:v>Chase pending — Sep 15</x:v>
      </x:c>
      <x:c r="L104" s="548" t="str">
        <x:v>Pending list</x:v>
      </x:c>
      <x:c r="M104" s="548" t="str">
        <x:v>Verified</x:v>
      </x:c>
    </x:row>
    <x:row r="105">
      <x:c r="A105" s="548" t="str">
        <x:v>Chase</x:v>
      </x:c>
      <x:c r="B105" s="478" t="n">
        <x:v>46280</x:v>
      </x:c>
      <x:c r="C105" s="548" t="str">
        <x:v>Starbucks</x:v>
      </x:c>
      <x:c r="D105" s="547" t="n">
        <x:v>6.22</x:v>
      </x:c>
      <x:c r="E105" s="548" t="str">
        <x:v>Pending</x:v>
      </x:c>
      <x:c r="F105" s="548" t="str">
        <x:v>Starbucks</x:v>
      </x:c>
      <x:c r="G105" s="548" t="str">
        <x:v>Include</x:v>
      </x:c>
      <x:c r="H105" s="574" t="n">
        <x:f>IF(B105="","",B105-WEEKDAY(B105-2,1)+1)</x:f>
        <x:v>46280</x:v>
      </x:c>
      <x:c r="I105" s="548" t="str">
        <x:v>chase-2026-09-15-starbucks-622</x:v>
      </x:c>
      <x:c r="J105" s="548" t="str">
        <x:v>Pending in Sep. 15 Chase activity</x:v>
      </x:c>
      <x:c r="K105" s="548" t="str">
        <x:v>Chase pending — Sep 15</x:v>
      </x:c>
      <x:c r="L105" s="548" t="str">
        <x:v>Pending list</x:v>
      </x:c>
      <x:c r="M105" s="548" t="str">
        <x:v>Verified</x:v>
      </x:c>
    </x:row>
    <x:row r="106">
      <x:c r="A106" s="548"/>
      <x:c r="B106" s="478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8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8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8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8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8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8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8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8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8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8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8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8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8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8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8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8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8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8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8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8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8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8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8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8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8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8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8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8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8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8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8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8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8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8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8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8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8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8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8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8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8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8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8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8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8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8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8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8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8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8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8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8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8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8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8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8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8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8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8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8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8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8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8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8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8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8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8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8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8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8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8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8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8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8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8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8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8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8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8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8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8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8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8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8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8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8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8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8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8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8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8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8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8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8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8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8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8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8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8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8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8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8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8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8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8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8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8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8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8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8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8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8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8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8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8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8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8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8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8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8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8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8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8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8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8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8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8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8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8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8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8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8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8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8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8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8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8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8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8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8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8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8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8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8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8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8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8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8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8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8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8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8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8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8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8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8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8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8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8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8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8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8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8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8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8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8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8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8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8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8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8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8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8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8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8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8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8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8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8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8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8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8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8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8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8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8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8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8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8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8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8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8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8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8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8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8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8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8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0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1" t="str">
        <x:v>Usable weekly income — Wells plan</x:v>
      </x:c>
      <x:c r="B8" s="481"/>
      <x:c r="C8" s="482"/>
      <x:c r="D8" s="482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0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0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0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0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0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0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0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0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148.615</x:v>
      </x:c>
      <x:c r="E20" s="480" t="n">
        <x:f>D20</x:f>
        <x:v>148.615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0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0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0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0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0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0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0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0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0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0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0" t="n">
        <x:f>IF(C31="Weekly",D31,IF(C31="Every 5 weeks",D31/5,D31*12/52))</x:f>
        <x:v>30</x:v>
      </x:c>
      <x:c r="F31" s="423" t="str">
        <x:v>Hard weekly cap</x:v>
      </x:c>
    </x:row>
    <x:row r="32">
      <x:c r="A32" s="481" t="str">
        <x:v>Total weekly plan</x:v>
      </x:c>
      <x:c r="B32" s="481"/>
      <x:c r="C32" s="481"/>
      <x:c r="D32" s="482"/>
      <x:c r="E32" s="482" t="n">
        <x:f>SUM(E12:E31)</x:f>
        <x:v>1531.6136692307691</x:v>
      </x:c>
      <x:c r="F32" s="481"/>
    </x:row>
    <x:row r="33">
      <x:c r="A33" s="423"/>
      <x:c r="B33" s="423"/>
      <x:c r="C33" s="423"/>
      <x:c r="D33" s="480"/>
      <x:c r="E33" s="480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-188.24366923076923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0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0" t="n">
        <x:f>E32</x:f>
        <x:v>1531.6136692307691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Review'!D15</x:f>
        <x:v>178.49169230769235</x:v>
      </x:c>
      <x:c r="D5" s="478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8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148.615</x:v>
      </x:c>
      <x:c r="D7" s="478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8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8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8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8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0" t="n">
        <x:v>72.61</x:v>
      </x:c>
      <x:c r="E19" s="480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0" t="n">
        <x:v>79.46</x:v>
      </x:c>
      <x:c r="E20" s="480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0" t="n">
        <x:v>0</x:v>
      </x:c>
      <x:c r="E21" s="480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0" t="n">
        <x:v>148.65</x:v>
      </x:c>
      <x:c r="E22" s="480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0" t="n">
        <x:v>0</x:v>
      </x:c>
      <x:c r="E23" s="480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0" t="n">
        <x:v>1169.46</x:v>
      </x:c>
      <x:c r="E24" s="480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0" t="n">
        <x:v>75</x:v>
      </x:c>
      <x:c r="E25" s="480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0" t="n">
        <x:v>85</x:v>
      </x:c>
      <x:c r="E26" s="480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0" t="n">
        <x:v>193.36</x:v>
      </x:c>
      <x:c r="E27" s="480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0" t="n">
        <x:v>50</x:v>
      </x:c>
      <x:c r="E28" s="480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0" t="n">
        <x:v>172.26230769230767</x:v>
      </x:c>
      <x:c r="E29" s="480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786.38</x:v>
      </x:c>
      <x:c r="C5" s="547" t="n">
        <x:v>0</x:v>
      </x:c>
      <x:c r="D5" s="478" t="n">
        <x:v>46289</x:v>
      </x:c>
      <x:c r="E5" s="423" t="str">
        <x:v>27.49% purchases (statement)</x:v>
      </x:c>
      <x:c r="F5" s="423" t="str">
        <x:v>USD</x:v>
      </x:c>
      <x:c r="G5" s="423" t="str">
        <x:v>Current balance from Sep. 15 Chase screenshot. No payment is currently due; $159.54 of current activity is pending and tracked separately.</x:v>
      </x:c>
    </x:row>
    <x:row r="6">
      <x:c r="A6" s="423" t="str">
        <x:v>Citi card</x:v>
      </x:c>
      <x:c r="B6" s="547" t="n">
        <x:v>106.26</x:v>
      </x:c>
      <x:c r="C6" s="547" t="n">
        <x:v>0</x:v>
      </x:c>
      <x:c r="D6" s="478" t="n">
        <x:v>46298</x:v>
      </x:c>
      <x:c r="E6" s="423" t="str">
        <x:v>APR not rechecked</x:v>
      </x:c>
      <x:c r="F6" s="423" t="str">
        <x:v>USD</x:v>
      </x:c>
      <x:c r="G6" s="423" t="str">
        <x:v>Current balance from Sep. 15 Citi screenshot. Pending $63.79 is tracked separately; app shows $0.00 statement balance and $0.00 minimum payment.</x:v>
      </x:c>
    </x:row>
    <x:row r="7">
      <x:c r="A7" s="423" t="str">
        <x:v>Discover card</x:v>
      </x:c>
      <x:c r="B7" s="547" t="n">
        <x:v>48.27</x:v>
      </x:c>
      <x:c r="C7" s="547" t="n">
        <x:v>48.27</x:v>
      </x:c>
      <x:c r="D7" s="478"/>
      <x:c r="E7" s="423" t="str">
        <x:v>26.49% purchases</x:v>
      </x:c>
      <x:c r="F7" s="423" t="str">
        <x:v>USD</x:v>
      </x:c>
      <x:c r="G7" s="423" t="str">
        <x:v>User-confirmed carried-forward amount to pay. Latest screenshot showed Nationwide Pet $48.27 pending; verify it has posted before submitting payment.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8"/>
      <x:c r="E8" s="423" t="str">
        <x:v>28.99% purchases</x:v>
      </x:c>
      <x:c r="F8" s="423" t="str">
        <x:v>USD</x:v>
      </x:c>
      <x:c r="G8" s="423" t="str">
        <x:v>Current balance $0 in Sep. 15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8"/>
      <x:c r="E9" s="423" t="str">
        <x:v>27.49% purchases</x:v>
      </x:c>
      <x:c r="F9" s="423" t="str">
        <x:v>USD</x:v>
      </x:c>
      <x:c r="G9" s="423" t="str">
        <x:v>Current balance $0 in Sep. 9 app screenshot; no payment due</x:v>
      </x:c>
    </x:row>
    <x:row r="10">
      <x:c r="A10" s="423" t="str">
        <x:v>PayPal Credit</x:v>
      </x:c>
      <x:c r="B10" s="547" t="n">
        <x:v>1170.31</x:v>
      </x:c>
      <x:c r="C10" s="547" t="n">
        <x:v>0</x:v>
      </x:c>
      <x:c r="D10" s="478"/>
      <x:c r="E10" s="423" t="str">
        <x:v>Promos: 29.64% deferred interest if not paid by deadlines</x:v>
      </x:c>
      <x:c r="F10" s="423" t="str">
        <x:v>USD</x:v>
      </x:c>
      <x:c r="G10" s="423" t="str">
        <x:v>Sep. 15 active-promo list totals $1,170.31. The Sep. 10 $148.62 payment reduced Progressive to $20.75.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8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8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8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8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8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46280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20.75</x:v>
      </x:c>
      <x:c r="D6" s="599" t="n">
        <x:v>105.51</x:v>
      </x:c>
      <x:c r="E6" s="573" t="n">
        <x:f>MAX(1,ROUNDUP((B6-$B$3)/7,0))</x:f>
        <x:v>4</x:v>
      </x:c>
      <x:c r="F6" s="599" t="n">
        <x:f>IF($B$3&gt;B6,0,IF(B6&lt;=$E$3,C6/E6,IF($B$3&gt;$E$3,C6/E6,0)))</x:f>
        <x:v>5.1875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4</x:v>
      </x:c>
      <x:c r="F7" s="599" t="n">
        <x:f>IF($B$3&gt;B7,0,IF(B7&lt;=$E$3,C7/E7,IF($B$3&gt;$E$3,C7/E7,0)))</x:f>
        <x:v>143.4275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17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17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1170.31</x:v>
      </x:c>
      <x:c r="D11" s="601" t="n">
        <x:f>SUM(D6:D9)</x:f>
        <x:v>203.88</x:v>
      </x:c>
      <x:c r="E11" s="600"/>
      <x:c r="F11" s="601" t="n">
        <x:f>SUM(F6:F9)</x:f>
        <x:v>148.615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148.615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79" t="n">
        <x:v>46280</x:v>
      </x:c>
      <x:c r="B5" s="423" t="str">
        <x:v>Wells Fargo checking</x:v>
      </x:c>
      <x:c r="C5" s="480" t="n">
        <x:v>1392.72</x:v>
      </x:c>
      <x:c r="D5" s="480" t="n">
        <x:v>1343.36</x:v>
      </x:c>
      <x:c r="E5" s="480" t="n">
        <x:v>0</x:v>
      </x:c>
      <x:c r="F5" s="480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79" t="n">
        <x:v>46280</x:v>
      </x:c>
      <x:c r="B6" s="423" t="str">
        <x:v>Wealthfront savings</x:v>
      </x:c>
      <x:c r="C6" s="480" t="n">
        <x:v>12026.13</x:v>
      </x:c>
      <x:c r="D6" s="480" t="n">
        <x:v>0</x:v>
      </x:c>
      <x:c r="E6" s="480" t="n">
        <x:v>0</x:v>
      </x:c>
      <x:c r="F6" s="480" t="n">
        <x:v>12026.13</x:v>
      </x:c>
      <x:c r="G6" s="423" t="str">
        <x:v>Sep. 15 balance and activity captured; latest visible activity is the Sep. 14 $300 Wells Fargo IFI transfer.</x:v>
      </x:c>
      <x:c r="H6" s="573"/>
      <x:c r="I6" s="573"/>
      <x:c r="J6" s="573"/>
    </x:row>
    <x:row r="7" ht="45" customHeight="1">
      <x:c r="A7" s="479" t="n">
        <x:v>46274</x:v>
      </x:c>
      <x:c r="B7" s="423" t="str">
        <x:v>Personal safe cash</x:v>
      </x:c>
      <x:c r="C7" s="480" t="n">
        <x:v>220</x:v>
      </x:c>
      <x:c r="D7" s="480" t="n">
        <x:v>0</x:v>
      </x:c>
      <x:c r="E7" s="480" t="n">
        <x:v>0</x:v>
      </x:c>
      <x:c r="F7" s="480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0" t="n">
        <x:v>1253.42</x:v>
      </x:c>
      <x:c r="G12" s="480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0" t="str"/>
      <x:c r="G13" s="480" t="str"/>
      <x:c r="H13" s="423" t="str"/>
      <x:c r="I13" s="423" t="str">
        <x:v>Verified</x:v>
      </x:c>
      <x:c r="J13" s="423" t="str">
        <x:v>Balance and latest activity captured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n">
        <x:v>19</x:v>
      </x:c>
      <x:c r="E14" s="423" t="n">
        <x:f>COUNTIF('Support - Ledger'!$K$5:$K$304,B14)</x:f>
        <x:v>19</x:v>
      </x:c>
      <x:c r="F14" s="480" t="n">
        <x:v>513.2</x:v>
      </x:c>
      <x:c r="G14" s="480" t="n">
        <x:f>SUMIF('Support - Ledger'!$K$5:$K$304,B14,'Support - Ledger'!$D$5:$D$304)</x:f>
        <x:v>513.2</x:v>
      </x:c>
      <x:c r="H14" s="423" t="str">
        <x:v>Yes</x:v>
      </x:c>
      <x:c r="I14" s="423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23" t="str">
        <x:v>Posted activity reconciled through Sep. 13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n">
        <x:v>8</x:v>
      </x:c>
      <x:c r="E15" s="423" t="n">
        <x:f>COUNTIF('Support - Ledger'!$K$5:$K$304,B15)</x:f>
        <x:v>8</x:v>
      </x:c>
      <x:c r="F15" s="480" t="n">
        <x:v>159.54</x:v>
      </x:c>
      <x:c r="G15" s="480" t="n">
        <x:f>SUMIF('Support - Ledger'!$K$5:$K$304,B15,'Support - Ledger'!$D$5:$D$304)</x:f>
        <x:v>159.54</x:v>
      </x:c>
      <x:c r="H15" s="423" t="str">
        <x:v>Yes</x:v>
      </x:c>
      <x:c r="I15" s="423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23" t="str">
        <x:v>Eight current pending charges reconciled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+ pending ledger rows</x:v>
      </x:c>
      <x:c r="D16" s="423" t="n">
        <x:v>5</x:v>
      </x:c>
      <x:c r="E16" s="423" t="n">
        <x:f>COUNTIF('Support - Ledger'!$K$5:$K$304,B16)</x:f>
        <x:v>5</x:v>
      </x:c>
      <x:c r="F16" s="480" t="n">
        <x:v>37.96</x:v>
      </x:c>
      <x:c r="G16" s="480" t="n">
        <x:f>SUMIF('Support - Ledger'!$K$5:$K$304,B16,'Support - Ledger'!$D$5:$D$304)</x:f>
        <x:v>37.96</x:v>
      </x:c>
      <x:c r="H16" s="423" t="str">
        <x:v>Yes</x:v>
      </x:c>
      <x:c r="I16" s="423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23" t="str">
        <x:v>All five current rows classified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0" t="str"/>
      <x:c r="G17" s="480" t="str"/>
      <x:c r="H17" s="423" t="str"/>
      <x:c r="I17" s="423" t="str">
        <x:v>Needed</x:v>
      </x:c>
      <x:c r="J17" s="423" t="str">
        <x:v>Capture current balance and any activity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0" t="str"/>
      <x:c r="G18" s="480" t="n">
        <x:f>SUMIF('Support - Ledger'!$K$5:$K$304,B18,'Support - Ledger'!$D$5:$D$304)</x:f>
        <x:v>0</x:v>
      </x:c>
      <x:c r="H18" s="423" t="str"/>
      <x:c r="I18" s="423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23" t="str">
        <x:v>Capture current balance and activity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Verified</x:v>
      </x:c>
      <x:c r="J19" s="423" t="str">
        <x:v>Current balance $0.00 captured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Verified</x:v>
      </x:c>
      <x:c r="J20" s="423" t="str">
        <x:v>All active promo balances captured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79" t="n">
        <x:v>46263</x:v>
      </x:c>
      <x:c r="B5" s="423" t="str">
        <x:v>Direct Energy</x:v>
      </x:c>
      <x:c r="C5" s="480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79" t="n">
        <x:v>46263</x:v>
      </x:c>
      <x:c r="B6" s="423" t="str">
        <x:v>Coastal Cuts Groom</x:v>
      </x:c>
      <x:c r="C6" s="480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79" t="n">
        <x:v>46263</x:v>
      </x:c>
      <x:c r="B7" s="423" t="str">
        <x:v>Starbucks</x:v>
      </x:c>
      <x:c r="C7" s="480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79" t="n">
        <x:v>46262</x:v>
      </x:c>
      <x:c r="B8" s="423" t="str">
        <x:v>Royal Caribbean</x:v>
      </x:c>
      <x:c r="C8" s="480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79" t="n">
        <x:v>46262</x:v>
      </x:c>
      <x:c r="B9" s="423" t="str">
        <x:v>H-E-B</x:v>
      </x:c>
      <x:c r="C9" s="480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79" t="n">
        <x:v>46262</x:v>
      </x:c>
      <x:c r="B10" s="423" t="str">
        <x:v>ARKPERFORMA</x:v>
      </x:c>
      <x:c r="C10" s="480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79" t="n">
        <x:v>46262</x:v>
      </x:c>
      <x:c r="B11" s="423" t="str">
        <x:v>Invincible app charge</x:v>
      </x:c>
      <x:c r="C11" s="480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79" t="n">
        <x:v>46261</x:v>
      </x:c>
      <x:c r="B12" s="423" t="str">
        <x:v>DoorDash</x:v>
      </x:c>
      <x:c r="C12" s="480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79" t="n">
        <x:v>46261</x:v>
      </x:c>
      <x:c r="B13" s="423" t="str">
        <x:v>McWhorter Service</x:v>
      </x:c>
      <x:c r="C13" s="480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79" t="n">
        <x:v>46261</x:v>
      </x:c>
      <x:c r="B14" s="423" t="str">
        <x:v>Gas Fusion</x:v>
      </x:c>
      <x:c r="C14" s="480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79" t="n">
        <x:v>46261</x:v>
      </x:c>
      <x:c r="B15" s="423" t="str">
        <x:v>Invincible app charge</x:v>
      </x:c>
      <x:c r="C15" s="480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79" t="n">
        <x:v>46261</x:v>
      </x:c>
      <x:c r="B16" s="423" t="str">
        <x:v>Starbucks</x:v>
      </x:c>
      <x:c r="C16" s="480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79" t="n">
        <x:v>46261</x:v>
      </x:c>
      <x:c r="B17" s="423" t="str">
        <x:v>Mariner of the Seas</x:v>
      </x:c>
      <x:c r="C17" s="480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79" t="n">
        <x:v>46260</x:v>
      </x:c>
      <x:c r="B18" s="423" t="str">
        <x:v>Mariner of the Seas</x:v>
      </x:c>
      <x:c r="C18" s="480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79" t="n">
        <x:v>46259</x:v>
      </x:c>
      <x:c r="B19" s="423" t="str">
        <x:v>Mariner of the Seas</x:v>
      </x:c>
      <x:c r="C19" s="480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79" t="n">
        <x:v>46259</x:v>
      </x:c>
      <x:c r="B20" s="423" t="str">
        <x:v>Mariner of the Seas</x:v>
      </x:c>
      <x:c r="C20" s="480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