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b7dff4f8cd46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4983d04dab14ee3"/>
    <x:sheet xmlns:r="http://schemas.openxmlformats.org/officeDocument/2006/relationships" name="2. Tuesday Review" sheetId="2" r:id="Rf2348cc516f94bdd"/>
    <x:sheet xmlns:r="http://schemas.openxmlformats.org/officeDocument/2006/relationships" name="3. This Week" sheetId="3" r:id="Rf543e083ac464e80"/>
    <x:sheet xmlns:r="http://schemas.openxmlformats.org/officeDocument/2006/relationships" name="4. Money Plan" sheetId="4" r:id="R6bd79b40dc914804"/>
    <x:sheet xmlns:r="http://schemas.openxmlformats.org/officeDocument/2006/relationships" name="5. Savings &amp; Debt" sheetId="5" r:id="R8dc8ccf203ef48f2"/>
    <x:sheet xmlns:r="http://schemas.openxmlformats.org/officeDocument/2006/relationships" name="6. History" sheetId="6" r:id="R75eb82a779fa4d85"/>
    <x:sheet xmlns:r="http://schemas.openxmlformats.org/officeDocument/2006/relationships" name="Support - Ledger" sheetId="7" r:id="R73aca529bb104af8"/>
    <x:sheet xmlns:r="http://schemas.openxmlformats.org/officeDocument/2006/relationships" name="Support - Budget Inputs" sheetId="8" r:id="R952d52cd3a714850"/>
    <x:sheet xmlns:r="http://schemas.openxmlformats.org/officeDocument/2006/relationships" name="Support - Funding Detail" sheetId="9" r:id="R24641264240a4b68"/>
    <x:sheet xmlns:r="http://schemas.openxmlformats.org/officeDocument/2006/relationships" name="Support - Debt Detail" sheetId="10" r:id="R6fe4b8abbf67498e"/>
    <x:sheet xmlns:r="http://schemas.openxmlformats.org/officeDocument/2006/relationships" name="Support - Promo Detail" sheetId="11" r:id="R99a59519899a44da"/>
    <x:sheet xmlns:r="http://schemas.openxmlformats.org/officeDocument/2006/relationships" name="Support - Account Snapshots" sheetId="12" r:id="R69d137c3d783449b"/>
    <x:sheet xmlns:r="http://schemas.openxmlformats.org/officeDocument/2006/relationships" name="Support - Pending Review" sheetId="13" r:id="R3259a45ef04d45da"/>
    <x:sheet xmlns:r="http://schemas.openxmlformats.org/officeDocument/2006/relationships" name="Support - Rules" sheetId="14" r:id="Rba9bbc63c45e4ace"/>
    <x:sheet xmlns:r="http://schemas.openxmlformats.org/officeDocument/2006/relationships" name="Support - Sources" sheetId="15" r:id="R4718fc3f61b748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3c1b3536740de" /><Relationship Type="http://schemas.openxmlformats.org/officeDocument/2006/relationships/theme" Target="/xl/theme/theme1.xml" Id="R952c514b61ef4725" /><Relationship Type="http://schemas.openxmlformats.org/officeDocument/2006/relationships/sharedStrings" Target="/xl/sharedStrings.xml" Id="R2e02bd1e0170439d" /><Relationship Type="http://schemas.openxmlformats.org/officeDocument/2006/relationships/worksheet" Target="/xl/worksheets/sheet1.xml" Id="R04983d04dab14ee3" /><Relationship Type="http://schemas.openxmlformats.org/officeDocument/2006/relationships/worksheet" Target="/xl/worksheets/sheet2.xml" Id="Rf2348cc516f94bdd" /><Relationship Type="http://schemas.openxmlformats.org/officeDocument/2006/relationships/worksheet" Target="/xl/worksheets/sheet3.xml" Id="Rf543e083ac464e80" /><Relationship Type="http://schemas.openxmlformats.org/officeDocument/2006/relationships/worksheet" Target="/xl/worksheets/sheet4.xml" Id="R6bd79b40dc914804" /><Relationship Type="http://schemas.openxmlformats.org/officeDocument/2006/relationships/worksheet" Target="/xl/worksheets/sheet5.xml" Id="R8dc8ccf203ef48f2" /><Relationship Type="http://schemas.openxmlformats.org/officeDocument/2006/relationships/worksheet" Target="/xl/worksheets/sheet6.xml" Id="R75eb82a779fa4d85" /><Relationship Type="http://schemas.openxmlformats.org/officeDocument/2006/relationships/worksheet" Target="/xl/worksheets/sheet7.xml" Id="R73aca529bb104af8" /><Relationship Type="http://schemas.openxmlformats.org/officeDocument/2006/relationships/worksheet" Target="/xl/worksheets/sheet8.xml" Id="R952d52cd3a714850" /><Relationship Type="http://schemas.openxmlformats.org/officeDocument/2006/relationships/worksheet" Target="/xl/worksheets/sheet9.xml" Id="R24641264240a4b68" /><Relationship Type="http://schemas.openxmlformats.org/officeDocument/2006/relationships/worksheet" Target="/xl/worksheets/sheet10.xml" Id="R6fe4b8abbf67498e" /><Relationship Type="http://schemas.openxmlformats.org/officeDocument/2006/relationships/worksheet" Target="/xl/worksheets/sheet11.xml" Id="R99a59519899a44da" /><Relationship Type="http://schemas.openxmlformats.org/officeDocument/2006/relationships/worksheet" Target="/xl/worksheets/sheet12.xml" Id="R69d137c3d783449b" /><Relationship Type="http://schemas.openxmlformats.org/officeDocument/2006/relationships/worksheet" Target="/xl/worksheets/sheet13.xml" Id="R3259a45ef04d45da" /><Relationship Type="http://schemas.openxmlformats.org/officeDocument/2006/relationships/worksheet" Target="/xl/worksheets/sheet14.xml" Id="Rba9bbc63c45e4ace" /><Relationship Type="http://schemas.openxmlformats.org/officeDocument/2006/relationships/worksheet" Target="/xl/worksheets/sheet15.xml" Id="R4718fc3f61b748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Manual actions complete</x:v>
      </x:c>
      <x:c r="C7" s="429" t="str">
        <x:v>Automatic transfers await next import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Verify automatics</x:v>
      </x:c>
      <x:c r="C8" s="432" t="str">
        <x:v>At the next weekly import, confirm automatic transfers from account activity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11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5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Actual Sep. 15 payment</x:v>
      </x:c>
      <x:c r="D9" s="462" t="n">
        <x:v>813.84</x:v>
      </x:c>
      <x:c r="E9" s="453" t="str">
        <x:v>Done</x:v>
      </x:c>
      <x:c r="F9" s="454" t="str">
        <x:v>Manual</x:v>
      </x:c>
      <x:c r="G9" s="419" t="str">
        <x:v>Paid Sep. 15; actual payment replaces the planned balance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Actual Sep. 15 payment</x:v>
      </x:c>
      <x:c r="D10" s="462" t="n">
        <x:v>106.26</x:v>
      </x:c>
      <x:c r="E10" s="453" t="str">
        <x:v>Done</x:v>
      </x:c>
      <x:c r="F10" s="454" t="str">
        <x:v>Manual</x:v>
      </x:c>
      <x:c r="G10" s="419" t="str">
        <x:v>Paid Sep. 15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Done</x:v>
      </x:c>
      <x:c r="F14" s="454" t="str">
        <x:v>Manual</x:v>
      </x:c>
      <x:c r="G14" s="419" t="str">
        <x:v>Paid Sep. 15; preserve the Oct. 10 payoff schedule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Actual Sep. 15 funding</x:v>
      </x:c>
      <x:c r="D16" s="462" t="n">
        <x:f>'Support - Budget Inputs'!E13</x:f>
        <x:v>172.26230769230767</x:v>
      </x:c>
      <x:c r="E16" s="453" t="str">
        <x:v>Done</x:v>
      </x:c>
      <x:c r="F16" s="454" t="str">
        <x:v>Manual</x:v>
      </x:c>
      <x:c r="G16" s="419" t="str">
        <x:v>Paid Sep. 15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252.61730769230803</x:v>
      </x:c>
      <x:c r="E21" s="453" t="str">
        <x:v>Done</x:v>
      </x:c>
      <x:c r="F21" s="454" t="str">
        <x:v>Manual</x:v>
      </x:c>
      <x:c r="G21" s="419" t="str">
        <x:v>Transferred Sep. 15; user confirmed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1644.337307692308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1644.337307692308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252.61730769230803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418.80000000000007</x:v>
      </x:c>
      <x:c r="D23" s="476" t="n">
        <x:f>SUM(D6:D21)</x:f>
        <x:v>127.33000000000001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This guide refreshes at weekly closeout. During the import and Tuesday payment execution, use Start and Tuesday Review only. Savings &amp; Debt records the current rent contribution.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510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510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12536.13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550.1722999999965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0</x:v>
      </x:c>
      <x:c r="D13" s="474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0</x:v>
      </x:c>
      <x:c r="D14" s="474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0</x:v>
      </x:c>
      <x:c r="D15" s="474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0</x:v>
      </x:c>
      <x:c r="D16" s="474" t="n">
        <x:f>B16*C16</x:f>
        <x:v>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1644.337307692308</x:v>
      </x:c>
      <x:c r="G7" s="544" t="str">
        <x:v>Manual actions completed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74" t="n">
        <x:f>I7+J7</x:f>
        <x:v>569.6</x:v>
      </x:c>
      <x:c r="L7" s="474" t="str">
        <x:f>IF(H7="","",H7-K7)</x:f>
      </x:c>
      <x:c r="M7" s="544" t="str">
        <x:v>All five Sep. 15 manual actions are user-confirmed complete, including the $252.62 Wealthfront top-up. Automatic transfers remain for next-import verification.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Posted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No longer pending in the later Sep. 15 capture; $20.91 is part of the exact $27.46 Chase-payment delta</x:v>
      </x:c>
      <x:c r="K98" s="544" t="str">
        <x:v>Chase activity — Sep 15</x:v>
      </x:c>
      <x:c r="L98" s="544" t="str">
        <x:v>Posted activity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Posted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No longer pending in the later Sep. 15 capture; $6.55 is part of the exact $27.46 Chase-payment delta</x:v>
      </x:c>
      <x:c r="K99" s="544" t="str">
        <x:v>Chase activity — Sep 15</x:v>
      </x:c>
      <x:c r="L99" s="544" t="str">
        <x:v>Posted activity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510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132.08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Current post-payment exposure. The $813.84 payment cleared the $786.38 pre-payment balance plus the $27.46 that posted; six pending charges total $132.08.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510</x:v>
      </x:c>
      <x:c r="D7" s="474" t="n">
        <x:v>0</x:v>
      </x:c>
      <x:c r="E7" s="474" t="n">
        <x:v>0</x:v>
      </x:c>
      <x:c r="F7" s="474" t="n">
        <x:v>510</x:v>
      </x:c>
      <x:c r="G7" s="419" t="str">
        <x:v>Current user-reported personal-safe cash balance.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21</x:v>
      </x:c>
      <x:c r="E14" s="419" t="n">
        <x:f>COUNTIF('Support - Ledger'!$K$5:$K$304,B14)</x:f>
        <x:v>21</x:v>
      </x:c>
      <x:c r="F14" s="474" t="n">
        <x:v>540.66</x:v>
      </x:c>
      <x:c r="G14" s="474" t="n">
        <x:f>SUMIF('Support - Ledger'!$K$5:$K$304,B14,'Support - Ledger'!$D$5:$D$304)</x:f>
        <x:v>540.66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and exact payment-delta transition reconciled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6</x:v>
      </x:c>
      <x:c r="E15" s="419" t="n">
        <x:f>COUNTIF('Support - Ledger'!$K$5:$K$304,B15)</x:f>
        <x:v>6</x:v>
      </x:c>
      <x:c r="F15" s="474" t="n">
        <x:v>132.08</x:v>
      </x:c>
      <x:c r="G15" s="474" t="n">
        <x:f>SUMIF('Support - Ledger'!$K$5:$K$304,B15,'Support - Ledger'!$D$5:$D$304)</x:f>
        <x:v>132.08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Six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 and Sep. 15 follow-up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