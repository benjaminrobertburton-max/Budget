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fee064aac43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89fee4c43fa4af0"/>
    <x:sheet xmlns:r="http://schemas.openxmlformats.org/officeDocument/2006/relationships" name="2. Tuesday Review" sheetId="2" r:id="R86776ca9152041ea"/>
    <x:sheet xmlns:r="http://schemas.openxmlformats.org/officeDocument/2006/relationships" name="3. This Week" sheetId="3" r:id="R5e160fcd6d254cc2"/>
    <x:sheet xmlns:r="http://schemas.openxmlformats.org/officeDocument/2006/relationships" name="4. Money Plan" sheetId="4" r:id="Ra1570219365340ae"/>
    <x:sheet xmlns:r="http://schemas.openxmlformats.org/officeDocument/2006/relationships" name="5. Savings &amp; Debt" sheetId="5" r:id="R8095c75625f24599"/>
    <x:sheet xmlns:r="http://schemas.openxmlformats.org/officeDocument/2006/relationships" name="6. History" sheetId="6" r:id="R7474bb3b666e45ac"/>
    <x:sheet xmlns:r="http://schemas.openxmlformats.org/officeDocument/2006/relationships" name="Support - Ledger" sheetId="7" r:id="R931b4b74568d44be"/>
    <x:sheet xmlns:r="http://schemas.openxmlformats.org/officeDocument/2006/relationships" name="Support - Budget Inputs" sheetId="8" r:id="R4b76625ea1734c52"/>
    <x:sheet xmlns:r="http://schemas.openxmlformats.org/officeDocument/2006/relationships" name="Support - Funding Detail" sheetId="9" r:id="R2f29b2499a5b48df"/>
    <x:sheet xmlns:r="http://schemas.openxmlformats.org/officeDocument/2006/relationships" name="Support - Debt Detail" sheetId="10" r:id="R52554885311e4634"/>
    <x:sheet xmlns:r="http://schemas.openxmlformats.org/officeDocument/2006/relationships" name="Support - Promo Detail" sheetId="11" r:id="Rbccc0a9b37b1450c"/>
    <x:sheet xmlns:r="http://schemas.openxmlformats.org/officeDocument/2006/relationships" name="Support - Account Snapshots" sheetId="12" r:id="R1dbd7c0a037149d7"/>
    <x:sheet xmlns:r="http://schemas.openxmlformats.org/officeDocument/2006/relationships" name="Support - Pending Review" sheetId="13" r:id="R19d43b6d996d4a8b"/>
    <x:sheet xmlns:r="http://schemas.openxmlformats.org/officeDocument/2006/relationships" name="Support - Rules" sheetId="14" r:id="R437d1f69e3264460"/>
    <x:sheet xmlns:r="http://schemas.openxmlformats.org/officeDocument/2006/relationships" name="Support - Sources" sheetId="15" r:id="Reabe8b1408054a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c614443571462b" /><Relationship Type="http://schemas.openxmlformats.org/officeDocument/2006/relationships/theme" Target="/xl/theme/theme1.xml" Id="Rd0f1c4c2fc8242f0" /><Relationship Type="http://schemas.openxmlformats.org/officeDocument/2006/relationships/sharedStrings" Target="/xl/sharedStrings.xml" Id="Re5ef109c8daa4e32" /><Relationship Type="http://schemas.openxmlformats.org/officeDocument/2006/relationships/worksheet" Target="/xl/worksheets/sheet1.xml" Id="R089fee4c43fa4af0" /><Relationship Type="http://schemas.openxmlformats.org/officeDocument/2006/relationships/worksheet" Target="/xl/worksheets/sheet2.xml" Id="R86776ca9152041ea" /><Relationship Type="http://schemas.openxmlformats.org/officeDocument/2006/relationships/worksheet" Target="/xl/worksheets/sheet3.xml" Id="R5e160fcd6d254cc2" /><Relationship Type="http://schemas.openxmlformats.org/officeDocument/2006/relationships/worksheet" Target="/xl/worksheets/sheet4.xml" Id="Ra1570219365340ae" /><Relationship Type="http://schemas.openxmlformats.org/officeDocument/2006/relationships/worksheet" Target="/xl/worksheets/sheet5.xml" Id="R8095c75625f24599" /><Relationship Type="http://schemas.openxmlformats.org/officeDocument/2006/relationships/worksheet" Target="/xl/worksheets/sheet6.xml" Id="R7474bb3b666e45ac" /><Relationship Type="http://schemas.openxmlformats.org/officeDocument/2006/relationships/worksheet" Target="/xl/worksheets/sheet7.xml" Id="R931b4b74568d44be" /><Relationship Type="http://schemas.openxmlformats.org/officeDocument/2006/relationships/worksheet" Target="/xl/worksheets/sheet8.xml" Id="R4b76625ea1734c52" /><Relationship Type="http://schemas.openxmlformats.org/officeDocument/2006/relationships/worksheet" Target="/xl/worksheets/sheet9.xml" Id="R2f29b2499a5b48df" /><Relationship Type="http://schemas.openxmlformats.org/officeDocument/2006/relationships/worksheet" Target="/xl/worksheets/sheet10.xml" Id="R52554885311e4634" /><Relationship Type="http://schemas.openxmlformats.org/officeDocument/2006/relationships/worksheet" Target="/xl/worksheets/sheet11.xml" Id="Rbccc0a9b37b1450c" /><Relationship Type="http://schemas.openxmlformats.org/officeDocument/2006/relationships/worksheet" Target="/xl/worksheets/sheet12.xml" Id="R1dbd7c0a037149d7" /><Relationship Type="http://schemas.openxmlformats.org/officeDocument/2006/relationships/worksheet" Target="/xl/worksheets/sheet13.xml" Id="R19d43b6d996d4a8b" /><Relationship Type="http://schemas.openxmlformats.org/officeDocument/2006/relationships/worksheet" Target="/xl/worksheets/sheet14.xml" Id="R437d1f69e3264460" /><Relationship Type="http://schemas.openxmlformats.org/officeDocument/2006/relationships/worksheet" Target="/xl/worksheets/sheet15.xml" Id="Reabe8b1408054a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during the import. Wells updates first; the current cash plan is built only after every required source is verified. Use Tuesday Review only after that handoff.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Built</x:v>
      </x:c>
      <x:c r="C7" s="429" t="str">
        <x:v>Tuesday Review reflects all verified current actions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Execute plan</x:v>
      </x:c>
      <x:c r="C8" s="432" t="str">
        <x:v>Use Tuesday Review checkoffs while you pay or transfer funds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13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For a manual action, use the small dropdown to select ☑ when complete.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COUNTIFS(F9:F21,"Manual",E9:E21,"☑")&amp;" / "&amp;COUNTIF(F9:F21,"Manual")&amp;" manual payments complete"</x:f>
        <x:v>0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Planned 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Current Sep. 15 balance</x:v>
      </x:c>
      <x:c r="D9" s="462" t="n">
        <x:v>786.38</x:v>
      </x:c>
      <x:c r="E9" s="453" t="str">
        <x:v>☐</x:v>
      </x:c>
      <x:c r="F9" s="454" t="str">
        <x:v>Manual</x:v>
      </x:c>
      <x:c r="G9" s="419" t="str">
        <x:v>Pay the current balance, including listed pending charges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Current Sep. 15 balance</x:v>
      </x:c>
      <x:c r="D10" s="462" t="n">
        <x:v>106.26</x:v>
      </x:c>
      <x:c r="E10" s="453" t="str">
        <x:v>☐</x:v>
      </x:c>
      <x:c r="F10" s="454" t="str">
        <x:v>Manual</x:v>
      </x:c>
      <x:c r="G10" s="419" t="str">
        <x:v>Pay the current balance, including listed pending charges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☐</x:v>
      </x:c>
      <x:c r="F14" s="454" t="str">
        <x:v>Manual</x:v>
      </x:c>
      <x:c r="G14" s="419" t="str">
        <x:v>Four weekly payments remain before Oct. 10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Weekly reserve toward Sep. 27 due date</x:v>
      </x:c>
      <x:c r="D16" s="462" t="n">
        <x:f>'Support - Budget Inputs'!E13</x:f>
        <x:v>172.26230769230767</x:v>
      </x:c>
      <x:c r="E16" s="453" t="str">
        <x:v>☐</x:v>
      </x:c>
      <x:c r="F16" s="454" t="str">
        <x:v>Manual</x:v>
      </x:c>
      <x:c r="G16" s="419" t="str">
        <x:v>Move to CUTX reserve; do not pay the loan early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225.157307692308</x:v>
      </x:c>
      <x:c r="E21" s="453" t="str">
        <x:v>☐</x:v>
      </x:c>
      <x:c r="F21" s="454" t="str">
        <x:v>Manual</x:v>
      </x:c>
      <x:c r="G21" s="419" t="str">
        <x:f>IF(D21=0,"No transfer needed; leave $1 in Wells","Transfer this amount from Wealthfront to leave $1 in Wells")</x:f>
        <x:v>Transfer this amount from Wealthfront to leave $1 in Wells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1616.877307692308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1616.877307692308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225.157307692308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"/>
    <x:cfRule type="containsText" dxfId="24" priority="2" operator="containsText" text="☑"/>
  </x:conditionalFormatting>
  <x:dataValidations count="5">
    <x:dataValidation type="list" sqref="E9">
      <x:formula1>"☐,☑"</x:formula1>
    </x:dataValidation>
    <x:dataValidation type="list" sqref="E10">
      <x:formula1>"☐,☑"</x:formula1>
    </x:dataValidation>
    <x:dataValidation type="list" sqref="E14">
      <x:formula1>"☐,☑"</x:formula1>
    </x:dataValidation>
    <x:dataValidation type="list" sqref="E16">
      <x:formula1>"☐,☑"</x:formula1>
    </x:dataValidation>
    <x:dataValidation type="list" sqref="E21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391.34000000000003</x:v>
      </x:c>
      <x:c r="D23" s="476" t="n">
        <x:f>SUM(D6:D21)</x:f>
        <x:v>154.79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Use this ongoing guide after the live Tuesday Review. It reflects the Sep. 9 import inputs; the current rent contribution is calculated in Tuesday Review and recorded in Savings &amp; Debt.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510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510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12536.13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550.1722999999965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0</x:v>
      </x:c>
      <x:c r="D13" s="474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0</x:v>
      </x:c>
      <x:c r="D14" s="474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0</x:v>
      </x:c>
      <x:c r="D15" s="474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0</x:v>
      </x:c>
      <x:c r="D16" s="474" t="n">
        <x:f>B16*C16</x:f>
        <x:v>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1616.8773076923076</x:v>
      </x:c>
      <x:c r="G7" s="544" t="str">
        <x:v>Plan created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74" t="n">
        <x:f>I7+J7</x:f>
        <x:v>569.6</x:v>
      </x:c>
      <x:c r="L7" s="474" t="str">
        <x:f>IF(H7="","",H7-K7)</x:f>
      </x:c>
      <x:c r="M7" s="544" t="str">
        <x:v>Sep. 15 payment plan built from verified imports. It uses a $225.16 general cash top-up from Wealthfront and makes no rent contribution this Tuesday.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Pending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Pending in Sep. 15 Chase activity</x:v>
      </x:c>
      <x:c r="K98" s="544" t="str">
        <x:v>Chase pending — Sep 15</x:v>
      </x:c>
      <x:c r="L98" s="544" t="str">
        <x:v>Pending list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Pending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Pending in Sep. 15 Chase activity</x:v>
      </x:c>
      <x:c r="K99" s="544" t="str">
        <x:v>Chase pending — Sep 15</x:v>
      </x:c>
      <x:c r="L99" s="544" t="str">
        <x:v>Pending list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510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786.38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Current balance from Sep. 15 Chase screenshot. No payment is currently due; $159.54 of current activity is pending and tracked separately.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510</x:v>
      </x:c>
      <x:c r="D7" s="474" t="n">
        <x:v>0</x:v>
      </x:c>
      <x:c r="E7" s="474" t="n">
        <x:v>0</x:v>
      </x:c>
      <x:c r="F7" s="474" t="n">
        <x:v>510</x:v>
      </x:c>
      <x:c r="G7" s="419" t="str">
        <x:v>Current user-reported personal-safe cash balance.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19</x:v>
      </x:c>
      <x:c r="E14" s="419" t="n">
        <x:f>COUNTIF('Support - Ledger'!$K$5:$K$304,B14)</x:f>
        <x:v>19</x:v>
      </x:c>
      <x:c r="F14" s="474" t="n">
        <x:v>513.2</x:v>
      </x:c>
      <x:c r="G14" s="474" t="n">
        <x:f>SUMIF('Support - Ledger'!$K$5:$K$304,B14,'Support - Ledger'!$D$5:$D$304)</x:f>
        <x:v>513.2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reconciled through Sep. 13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8</x:v>
      </x:c>
      <x:c r="E15" s="419" t="n">
        <x:f>COUNTIF('Support - Ledger'!$K$5:$K$304,B15)</x:f>
        <x:v>8</x:v>
      </x:c>
      <x:c r="F15" s="474" t="n">
        <x:v>159.54</x:v>
      </x:c>
      <x:c r="G15" s="474" t="n">
        <x:f>SUMIF('Support - Ledger'!$K$5:$K$304,B15,'Support - Ledger'!$D$5:$D$304)</x:f>
        <x:v>159.54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Eight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